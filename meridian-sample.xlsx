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Screener" sheetId="2" state="visible" r:id="rId4"/>
    <sheet name="Company Master" sheetId="3" state="visible" r:id="rId5"/>
    <sheet name="Fundamentals Raw" sheetId="4" state="visible" r:id="rId6"/>
    <sheet name="Price History" sheetId="5" state="visible" r:id="rId7"/>
    <sheet name="Benchmark Price History" sheetId="6" state="visible" r:id="rId8"/>
  </sheets>
  <definedNames>
    <definedName function="false" hidden="true" localSheetId="1" name="_xlnm._FilterDatabase" vbProcedure="false">Screener!$A$1:$BV$7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<sst xmlns="http://schemas.openxmlformats.org/spreadsheetml/2006/main" count="1724" uniqueCount="148">
  <si>
    <t xml:space="preserve">Meridian — Sample Workbook</t>
  </si>
  <si>
    <t xml:space="preserve">This is a SAMPLE built from synthetic data (not real reported financials or prices) so you can evaluate the calculation logic before we connect real data.</t>
  </si>
  <si>
    <t xml:space="preserve">How it's structured:</t>
  </si>
  <si>
    <t xml:space="preserve">• 'Company Master', 'Fundamentals Raw' and 'Price History' / 'Benchmark Price History' are INPUT sheets (yellow-filled cells) — this is where you paste real exports from your data source.</t>
  </si>
  <si>
    <t xml:space="preserve">• 'Screener' is the OUTPUT sheet — every cell there is a live formula pulling from the input sheets. Change an input and the Screener sheet recalculates.</t>
  </si>
  <si>
    <t xml:space="preserve">• Fundamentals Raw needs the last 4 fiscal years per stock, one row each, so the sheet can compute a trailing 3-year average and isolate the latest year.</t>
  </si>
  <si>
    <t xml:space="preserve">• Price History needs one row per stock per trading day (Close + Volume). More history = more reliable 200-day MA and 52-week range. ~260 trading days (~1yr) is the practical minimum.</t>
  </si>
  <si>
    <t xml:space="preserve">• Benchmark Price History is optional — only needed for the Relative Strength column.</t>
  </si>
  <si>
    <t xml:space="preserve">• Improvement / Deterioration flags use a ±3% variation band as the neutral zone — last year's value has to move more than 3% away from the trailing 3-year average to count as a real shift. Debt/Equity's flag direction is inverted (lower is better).</t>
  </si>
  <si>
    <t xml:space="preserve">ISIN</t>
  </si>
  <si>
    <t xml:space="preserve">Name</t>
  </si>
  <si>
    <t xml:space="preserve">Sector</t>
  </si>
  <si>
    <t xml:space="preserve">CMP</t>
  </si>
  <si>
    <t xml:space="preserve">1D Chg</t>
  </si>
  <si>
    <t xml:space="preserve">1D Chg%</t>
  </si>
  <si>
    <t xml:space="preserve">MarketCap</t>
  </si>
  <si>
    <t xml:space="preserve">PE</t>
  </si>
  <si>
    <t xml:space="preserve">Vol Breakout %</t>
  </si>
  <si>
    <t xml:space="preserve">52w High</t>
  </si>
  <si>
    <t xml:space="preserve">52w Low</t>
  </si>
  <si>
    <t xml:space="preserve">Vol Today</t>
  </si>
  <si>
    <t xml:space="preserve">Vol 30d Avg</t>
  </si>
  <si>
    <t xml:space="preserve">MA3</t>
  </si>
  <si>
    <t xml:space="preserve">MA8</t>
  </si>
  <si>
    <t xml:space="preserve">MA30</t>
  </si>
  <si>
    <t xml:space="preserve">MA50</t>
  </si>
  <si>
    <t xml:space="preserve">MA100</t>
  </si>
  <si>
    <t xml:space="preserve">MA200</t>
  </si>
  <si>
    <t xml:space="preserve">RSI14</t>
  </si>
  <si>
    <t xml:space="preserve">RS Rating</t>
  </si>
  <si>
    <t xml:space="preserve">S3</t>
  </si>
  <si>
    <t xml:space="preserve">S8</t>
  </si>
  <si>
    <t xml:space="preserve">S30</t>
  </si>
  <si>
    <t xml:space="preserve">S50</t>
  </si>
  <si>
    <t xml:space="preserve">S100</t>
  </si>
  <si>
    <t xml:space="preserve">S200</t>
  </si>
  <si>
    <t xml:space="preserve">M3</t>
  </si>
  <si>
    <t xml:space="preserve">M8</t>
  </si>
  <si>
    <t xml:space="preserve">M30</t>
  </si>
  <si>
    <t xml:space="preserve">M100</t>
  </si>
  <si>
    <t xml:space="preserve">ROE 3yr avg</t>
  </si>
  <si>
    <t xml:space="preserve">ROE LY</t>
  </si>
  <si>
    <t xml:space="preserve">ROE Var%</t>
  </si>
  <si>
    <t xml:space="preserve">ROE Flag</t>
  </si>
  <si>
    <t xml:space="preserve">ROCE 3yr avg</t>
  </si>
  <si>
    <t xml:space="preserve">ROCE LY</t>
  </si>
  <si>
    <t xml:space="preserve">ROCE Var%</t>
  </si>
  <si>
    <t xml:space="preserve">ROCE Flag</t>
  </si>
  <si>
    <t xml:space="preserve">EPS Gr 3yr avg</t>
  </si>
  <si>
    <t xml:space="preserve">EPS Gr LY</t>
  </si>
  <si>
    <t xml:space="preserve">EPS Gr Var%</t>
  </si>
  <si>
    <t xml:space="preserve">EPS Gr Flag</t>
  </si>
  <si>
    <t xml:space="preserve">Sales Gr 3yr avg</t>
  </si>
  <si>
    <t xml:space="preserve">Sales Gr LY</t>
  </si>
  <si>
    <t xml:space="preserve">Sales Gr Var%</t>
  </si>
  <si>
    <t xml:space="preserve">Sales Gr Flag</t>
  </si>
  <si>
    <t xml:space="preserve">D/E 3yr avg</t>
  </si>
  <si>
    <t xml:space="preserve">D/E LY</t>
  </si>
  <si>
    <t xml:space="preserve">D/E Var%</t>
  </si>
  <si>
    <t xml:space="preserve">D/E Flag</t>
  </si>
  <si>
    <t xml:space="preserve">AssetTurns 3yr avg</t>
  </si>
  <si>
    <t xml:space="preserve">AssetTurns LY</t>
  </si>
  <si>
    <t xml:space="preserve">AssetTurns Var%</t>
  </si>
  <si>
    <t xml:space="preserve">AssetTurns Flag</t>
  </si>
  <si>
    <t xml:space="preserve">CWIP % of FA</t>
  </si>
  <si>
    <t xml:space="preserve">% from 52w High</t>
  </si>
  <si>
    <t xml:space="preserve">% from 52w Low</t>
  </si>
  <si>
    <t xml:space="preserve">CMP/52w Low</t>
  </si>
  <si>
    <t xml:space="preserve">FundRow</t>
  </si>
  <si>
    <t xml:space="preserve">RS RawScore</t>
  </si>
  <si>
    <t xml:space="preserve">RS Band</t>
  </si>
  <si>
    <t xml:space="preserve">MA200 Slope%</t>
  </si>
  <si>
    <t xml:space="preserve">MA200 Rising</t>
  </si>
  <si>
    <t xml:space="preserve">FinExempt</t>
  </si>
  <si>
    <t xml:space="preserve">Pctl ROCE</t>
  </si>
  <si>
    <t xml:space="preserve">Pctl ROE</t>
  </si>
  <si>
    <t xml:space="preserve">Pctl EPSg</t>
  </si>
  <si>
    <t xml:space="preserve">Pctl Salesg</t>
  </si>
  <si>
    <t xml:space="preserve">Pctl DE</t>
  </si>
  <si>
    <t xml:space="preserve">Pctl AssetTurn</t>
  </si>
  <si>
    <t xml:space="preserve">Pctl Capex</t>
  </si>
  <si>
    <t xml:space="preserve">Fund Score</t>
  </si>
  <si>
    <t xml:space="preserve">Fund Tier</t>
  </si>
  <si>
    <t xml:space="preserve">Symbol</t>
  </si>
  <si>
    <t xml:space="preserve">MarketCap (₹ Cr)</t>
  </si>
  <si>
    <t xml:space="preserve">PB</t>
  </si>
  <si>
    <t xml:space="preserve">INE002A01018</t>
  </si>
  <si>
    <t xml:space="preserve">RELIANCE</t>
  </si>
  <si>
    <t xml:space="preserve">Reliance Industries</t>
  </si>
  <si>
    <t xml:space="preserve">Energy</t>
  </si>
  <si>
    <t xml:space="preserve">INE467B01029</t>
  </si>
  <si>
    <t xml:space="preserve">TCS</t>
  </si>
  <si>
    <t xml:space="preserve">Tata Consultancy Services</t>
  </si>
  <si>
    <t xml:space="preserve">IT</t>
  </si>
  <si>
    <t xml:space="preserve">INE040A01034</t>
  </si>
  <si>
    <t xml:space="preserve">HDFCBANK</t>
  </si>
  <si>
    <t xml:space="preserve">HDFC Bank</t>
  </si>
  <si>
    <t xml:space="preserve">Banks</t>
  </si>
  <si>
    <t xml:space="preserve">INE154A01025</t>
  </si>
  <si>
    <t xml:space="preserve">ITC</t>
  </si>
  <si>
    <t xml:space="preserve">ITC Ltd</t>
  </si>
  <si>
    <t xml:space="preserve">FMCG</t>
  </si>
  <si>
    <t xml:space="preserve">INE075A01022</t>
  </si>
  <si>
    <t xml:space="preserve">WIPRO</t>
  </si>
  <si>
    <t xml:space="preserve">Wipro Ltd</t>
  </si>
  <si>
    <t xml:space="preserve">INE752E01010</t>
  </si>
  <si>
    <t xml:space="preserve">POWERGRID</t>
  </si>
  <si>
    <t xml:space="preserve">Power Grid Corp</t>
  </si>
  <si>
    <t xml:space="preserve">Utilities</t>
  </si>
  <si>
    <t xml:space="preserve">ROE % FY23</t>
  </si>
  <si>
    <t xml:space="preserve">ROE % FY24</t>
  </si>
  <si>
    <t xml:space="preserve">ROE % FY25</t>
  </si>
  <si>
    <t xml:space="preserve">ROE % FY26</t>
  </si>
  <si>
    <t xml:space="preserve">ROCE % FY23</t>
  </si>
  <si>
    <t xml:space="preserve">ROCE % FY24</t>
  </si>
  <si>
    <t xml:space="preserve">ROCE % FY25</t>
  </si>
  <si>
    <t xml:space="preserve">ROCE % FY26</t>
  </si>
  <si>
    <t xml:space="preserve">EPS FY23</t>
  </si>
  <si>
    <t xml:space="preserve">EPS FY24</t>
  </si>
  <si>
    <t xml:space="preserve">EPS FY25</t>
  </si>
  <si>
    <t xml:space="preserve">EPS FY26</t>
  </si>
  <si>
    <t xml:space="preserve">Sales FY23</t>
  </si>
  <si>
    <t xml:space="preserve">Sales FY24</t>
  </si>
  <si>
    <t xml:space="preserve">Sales FY25</t>
  </si>
  <si>
    <t xml:space="preserve">Sales FY26</t>
  </si>
  <si>
    <t xml:space="preserve">TotalDebt FY23</t>
  </si>
  <si>
    <t xml:space="preserve">TotalDebt FY24</t>
  </si>
  <si>
    <t xml:space="preserve">TotalDebt FY25</t>
  </si>
  <si>
    <t xml:space="preserve">TotalDebt FY26</t>
  </si>
  <si>
    <t xml:space="preserve">Equity FY23</t>
  </si>
  <si>
    <t xml:space="preserve">Equity FY24</t>
  </si>
  <si>
    <t xml:space="preserve">Equity FY25</t>
  </si>
  <si>
    <t xml:space="preserve">Equity FY26</t>
  </si>
  <si>
    <t xml:space="preserve">FixedAssets FY23</t>
  </si>
  <si>
    <t xml:space="preserve">FixedAssets FY24</t>
  </si>
  <si>
    <t xml:space="preserve">FixedAssets FY25</t>
  </si>
  <si>
    <t xml:space="preserve">FixedAssets FY26</t>
  </si>
  <si>
    <t xml:space="preserve">CWIP FY23</t>
  </si>
  <si>
    <t xml:space="preserve">CWIP FY24</t>
  </si>
  <si>
    <t xml:space="preserve">CWIP FY25</t>
  </si>
  <si>
    <t xml:space="preserve">CWIP FY26</t>
  </si>
  <si>
    <t xml:space="preserve">Date</t>
  </si>
  <si>
    <t xml:space="preserve">Close</t>
  </si>
  <si>
    <t xml:space="preserve">Volume</t>
  </si>
  <si>
    <t xml:space="preserve">DayRank</t>
  </si>
  <si>
    <t xml:space="preserve">Change</t>
  </si>
  <si>
    <t xml:space="preserve">Gain</t>
  </si>
  <si>
    <t xml:space="preserve">Loss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</si>
</sst>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\%"/>
    <numFmt numFmtId="167" formatCode="#,##0"/>
    <numFmt numFmtId="168" formatCode="0.0"/>
    <numFmt numFmtId="169" formatCode="0"/>
    <numFmt numFmtId="170" formatCode="General"/>
    <numFmt numFmtId="171" formatCode="0.00\x"/>
    <numFmt numFmtId="172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1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140"/>
        <bgColor rgb="FF003366"/>
      </patternFill>
    </fill>
    <fill>
      <patternFill patternType="solid">
        <fgColor rgb="FFFFF9C4"/>
        <bgColor rgb="FFFFE8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1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8B2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D6F0D6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0E0E0"/>
        </patternFill>
      </fill>
    </dxf>
    <dxf>
      <fill>
        <patternFill>
          <bgColor rgb="FFFFE8B2"/>
        </patternFill>
      </fill>
    </dxf>
    <dxf>
      <fill>
        <patternFill>
          <bgColor rgb="FFD6F0D6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D6F0D6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8B2"/>
      <rgbColor rgb="FF99CCFF"/>
      <rgbColor rgb="FFFFC7CE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1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0" t="s">
        <v>1</v>
      </c>
    </row>
    <row r="6" customFormat="false" ht="15" hidden="false" customHeight="false" outlineLevel="0" collapsed="false">
      <c r="B6" s="2" t="s">
        <v>2</v>
      </c>
    </row>
    <row r="8" customFormat="false" ht="30" hidden="false" customHeight="true" outlineLevel="0" collapsed="false">
      <c r="B8" s="3" t="s">
        <v>3</v>
      </c>
    </row>
    <row r="9" customFormat="false" ht="30" hidden="false" customHeight="true" outlineLevel="0" collapsed="false">
      <c r="B9" s="3" t="s">
        <v>4</v>
      </c>
    </row>
    <row r="10" customFormat="false" ht="30" hidden="false" customHeight="true" outlineLevel="0" collapsed="false">
      <c r="B10" s="3" t="s">
        <v>5</v>
      </c>
    </row>
    <row r="11" customFormat="false" ht="30" hidden="false" customHeight="true" outlineLevel="0" collapsed="false">
      <c r="B11" s="3" t="s">
        <v>6</v>
      </c>
    </row>
    <row r="12" customFormat="false" ht="30" hidden="false" customHeight="true" outlineLevel="0" collapsed="false">
      <c r="B12" s="3" t="s">
        <v>7</v>
      </c>
    </row>
    <row r="13" customFormat="false" ht="30" hidden="false" customHeight="true" outlineLevel="0" collapsed="false">
      <c r="B13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59" min="3" style="0" width="11"/>
    <col collapsed="false" customWidth="true" hidden="true" outlineLevel="0" max="61" min="60" style="0" width="11"/>
    <col collapsed="false" customWidth="true" hidden="false" outlineLevel="0" max="64" min="62" style="0" width="11"/>
    <col collapsed="false" customWidth="true" hidden="true" outlineLevel="0" max="72" min="65" style="0" width="11"/>
    <col collapsed="false" customWidth="true" hidden="false" outlineLevel="0" max="74" min="73" style="0" width="11"/>
  </cols>
  <sheetData>
    <row r="1" customFormat="false" ht="30" hidden="false" customHeight="tru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  <c r="BA1" s="4" t="s">
        <v>61</v>
      </c>
      <c r="BB1" s="4" t="s">
        <v>62</v>
      </c>
      <c r="BC1" s="4" t="s">
        <v>63</v>
      </c>
      <c r="BD1" s="4" t="s">
        <v>64</v>
      </c>
      <c r="BE1" s="4" t="s">
        <v>65</v>
      </c>
      <c r="BF1" s="4" t="s">
        <v>66</v>
      </c>
      <c r="BG1" s="4" t="s">
        <v>67</v>
      </c>
      <c r="BH1" s="4" t="s">
        <v>68</v>
      </c>
      <c r="BI1" s="4" t="s">
        <v>69</v>
      </c>
      <c r="BJ1" s="4" t="s">
        <v>70</v>
      </c>
      <c r="BK1" s="4" t="s">
        <v>71</v>
      </c>
      <c r="BL1" s="4" t="s">
        <v>72</v>
      </c>
      <c r="BM1" s="4" t="s">
        <v>73</v>
      </c>
      <c r="BN1" s="4" t="s">
        <v>74</v>
      </c>
      <c r="BO1" s="4" t="s">
        <v>75</v>
      </c>
      <c r="BP1" s="4" t="s">
        <v>76</v>
      </c>
      <c r="BQ1" s="4" t="s">
        <v>77</v>
      </c>
      <c r="BR1" s="4" t="s">
        <v>78</v>
      </c>
      <c r="BS1" s="4" t="s">
        <v>79</v>
      </c>
      <c r="BT1" s="4" t="s">
        <v>80</v>
      </c>
      <c r="BU1" s="4" t="s">
        <v>81</v>
      </c>
      <c r="BV1" s="4" t="s">
        <v>82</v>
      </c>
    </row>
    <row r="2" customFormat="false" ht="15" hidden="false" customHeight="false" outlineLevel="0" collapsed="false">
      <c r="A2" s="5" t="str">
        <f aca="false">'Company Master'!A2</f>
        <v>INE002A01018</v>
      </c>
      <c r="B2" s="5" t="str">
        <f aca="false">'Company Master'!C2</f>
        <v>Reliance Industries</v>
      </c>
      <c r="C2" s="5" t="str">
        <f aca="false">'Company Master'!D2</f>
        <v>Energy</v>
      </c>
      <c r="D2" s="6" t="n">
        <f aca="false">SUMPRODUCT(('Price History'!$A$2:$A$1561=A2)*('Price History'!$E$2:$E$1561=1)*'Price History'!$C$2:$C$1561)</f>
        <v>2889.58</v>
      </c>
      <c r="E2" s="6" t="n">
        <f aca="false">D2-(SUMPRODUCT(('Price History'!$A$2:$A$1561=A2)*('Price History'!$E$2:$E$1561=2)*'Price History'!$C$2:$C$1561))</f>
        <v>5.98999999999978</v>
      </c>
      <c r="F2" s="7" t="n">
        <f aca="false">IFERROR(E2/(SUMPRODUCT(('Price History'!$A$2:$A$1561=A2)*('Price History'!$E$2:$E$1561=2)*'Price History'!$C$2:$C$1561)),"")</f>
        <v>0.00207727173419237</v>
      </c>
      <c r="G2" s="8" t="n">
        <f aca="false">'Company Master'!E2</f>
        <v>1750000</v>
      </c>
      <c r="H2" s="9" t="n">
        <f aca="false">IFERROR(D2/(INDEX('Fundamentals Raw'!$A:$AG,BH2,13)),'Company Master'!F2)</f>
        <v>48.5235936188077</v>
      </c>
      <c r="I2" s="7" t="n">
        <f aca="false">IFERROR(L2/M2*100,"")</f>
        <v>116.444733143689</v>
      </c>
      <c r="J2" s="6" t="n">
        <f aca="false">_xlfn.MAXIFS('Price History'!$C$2:$C$1561,'Price History'!$A$2:$A$1561,A2,'Price History'!$E$2:$E$1561,"&lt;=252")</f>
        <v>2889.58</v>
      </c>
      <c r="K2" s="6" t="n">
        <f aca="false">_xlfn.MINIFS('Price History'!$C$2:$C$1561,'Price History'!$A$2:$A$1561,A2,'Price History'!$E$2:$E$1561,"&lt;=252")</f>
        <v>2356.78</v>
      </c>
      <c r="L2" s="8" t="n">
        <f aca="false">SUMPRODUCT(('Price History'!$A$2:$A$1561=A2)*('Price History'!$E$2:$E$1561=1)*'Price History'!$D$2:$D$1561)</f>
        <v>1769569</v>
      </c>
      <c r="M2" s="8" t="n">
        <f aca="false">AVERAGEIFS('Price History'!$D$2:$D$1561,'Price History'!$A$2:$A$1561,A2,'Price History'!$E$2:$E$1561,"&lt;=30")</f>
        <v>1519664.26666667</v>
      </c>
      <c r="N2" s="6" t="n">
        <f aca="false">IFERROR(AVERAGEIFS('Price History'!$C$2:$C$1561,'Price History'!$A$2:$A$1561,A2,'Price History'!$E$2:$E$1561,"&lt;=3"),"")</f>
        <v>2877.93</v>
      </c>
      <c r="O2" s="6" t="n">
        <f aca="false">IFERROR(AVERAGEIFS('Price History'!$C$2:$C$1561,'Price History'!$A$2:$A$1561,A2,'Price History'!$E$2:$E$1561,"&lt;=8"),"")</f>
        <v>2865.83625</v>
      </c>
      <c r="P2" s="6" t="n">
        <f aca="false">IFERROR(AVERAGEIFS('Price History'!$C$2:$C$1561,'Price History'!$A$2:$A$1561,A2,'Price History'!$E$2:$E$1561,"&lt;=30"),"")</f>
        <v>2838.283</v>
      </c>
      <c r="Q2" s="6" t="n">
        <f aca="false">IFERROR(AVERAGEIFS('Price History'!$C$2:$C$1561,'Price History'!$A$2:$A$1561,A2,'Price History'!$E$2:$E$1561,"&lt;=50"),"")</f>
        <v>2797.5716</v>
      </c>
      <c r="R2" s="6" t="n">
        <f aca="false">IFERROR(AVERAGEIFS('Price History'!$C$2:$C$1561,'Price History'!$A$2:$A$1561,A2,'Price History'!$E$2:$E$1561,"&lt;=100"),"")</f>
        <v>2730.7821</v>
      </c>
      <c r="S2" s="6" t="n">
        <f aca="false">IFERROR(AVERAGEIFS('Price History'!$C$2:$C$1561,'Price History'!$A$2:$A$1561,A2,'Price History'!$E$2:$E$1561,"&lt;=200"),"")</f>
        <v>2663.2487</v>
      </c>
      <c r="T2" s="9" t="n">
        <f aca="false">IFERROR(100-100/(1+(AVERAGEIFS('Price History'!$G$2:$G$1561,'Price History'!$A$2:$A$1561,A2,'Price History'!$E$2:$E$1561,"&lt;=14"))/(AVERAGEIFS('Price History'!$H$2:$H$1561,'Price History'!$A$2:$A$1561,A2,'Price History'!$E$2:$E$1561,"&lt;=14"))),100)</f>
        <v>59.6126004692726</v>
      </c>
      <c r="U2" s="10" t="n">
        <f aca="false">IFERROR(ROUND(1+98*(RANK(BI2,$BI$2:$BI$7,1)-1)/(COUNT($BI$2:$BI$7)-1),0),"")</f>
        <v>79</v>
      </c>
      <c r="V2" s="11" t="b">
        <f aca="false">IF(N2="","",D2&gt;N2)</f>
        <v>1</v>
      </c>
      <c r="W2" s="11" t="b">
        <f aca="false">IF(O2="","",D2&gt;O2)</f>
        <v>1</v>
      </c>
      <c r="X2" s="11" t="b">
        <f aca="false">IF(P2="","",D2&gt;P2)</f>
        <v>1</v>
      </c>
      <c r="Y2" s="11" t="b">
        <f aca="false">IF(Q2="","",D2&gt;Q2)</f>
        <v>1</v>
      </c>
      <c r="Z2" s="11" t="b">
        <f aca="false">IF(R2="","",D2&gt;R2)</f>
        <v>1</v>
      </c>
      <c r="AA2" s="11" t="b">
        <f aca="false">IF(S2="","",D2&gt;S2)</f>
        <v>1</v>
      </c>
      <c r="AB2" s="11" t="b">
        <f aca="false">IF(OR(N2="",O2=""),"",N2&gt;O2)</f>
        <v>1</v>
      </c>
      <c r="AC2" s="11" t="b">
        <f aca="false">IF(OR(O2="",P2=""),"",O2&gt;P2)</f>
        <v>1</v>
      </c>
      <c r="AD2" s="11" t="b">
        <f aca="false">IF(OR(P2="",R2=""),"",P2&gt;R2)</f>
        <v>1</v>
      </c>
      <c r="AE2" s="11" t="b">
        <f aca="false">IF(OR(R2="",S2=""),"",R2&gt;S2)</f>
        <v>1</v>
      </c>
      <c r="AF2" s="5" t="n">
        <f aca="false">IFERROR(AVERAGE(INDEX('Fundamentals Raw'!$A:$AG,BH2,3),INDEX('Fundamentals Raw'!$A:$AG,BH2,4),INDEX('Fundamentals Raw'!$A:$AG,BH2,5)),"")</f>
        <v>16.0866666666667</v>
      </c>
      <c r="AG2" s="9" t="n">
        <f aca="false">IFERROR(INDEX('Fundamentals Raw'!$A:$AG,BH2,5),"")</f>
        <v>18.46</v>
      </c>
      <c r="AH2" s="7" t="n">
        <f aca="false">IFERROR((AG2-AF2)/ABS(AF2)*100,"")</f>
        <v>14.7534189805222</v>
      </c>
      <c r="AI2" s="5" t="str">
        <f aca="false">IF(AH2="","N/A",IF(ABS(AH2)&lt;3,"Neutral",IF(AH2&gt;0,"Improvement","Deterioration")))</f>
        <v>Improvement</v>
      </c>
      <c r="AJ2" s="5" t="n">
        <f aca="false">IFERROR(AVERAGE(INDEX('Fundamentals Raw'!$A:$AG,BH2,7),INDEX('Fundamentals Raw'!$A:$AG,BH2,8),INDEX('Fundamentals Raw'!$A:$AG,BH2,9)),"")</f>
        <v>16.6833333333333</v>
      </c>
      <c r="AK2" s="9" t="n">
        <f aca="false">IFERROR(INDEX('Fundamentals Raw'!$A:$AG,BH2,9),"")</f>
        <v>17.22</v>
      </c>
      <c r="AL2" s="7" t="n">
        <f aca="false">IFERROR((AK2-AJ2)/ABS(AJ2)*100,"")</f>
        <v>3.21678321678321</v>
      </c>
      <c r="AM2" s="5" t="str">
        <f aca="false">IF(AL2="","N/A",IF(ABS(AL2)&lt;3,"Neutral",IF(AL2&gt;0,"Improvement","Deterioration")))</f>
        <v>Improvement</v>
      </c>
      <c r="AN2" s="5" t="n">
        <f aca="false">IFERROR(AVERAGE(((INDEX('Fundamentals Raw'!$A:$AG,BH2,11)-INDEX('Fundamentals Raw'!$A:$AG,BH2,10))/ABS(INDEX('Fundamentals Raw'!$A:$AG,BH2,10))),((INDEX('Fundamentals Raw'!$A:$AG,BH2,12)-INDEX('Fundamentals Raw'!$A:$AG,BH2,11))/ABS(INDEX('Fundamentals Raw'!$A:$AG,BH2,11))),((INDEX('Fundamentals Raw'!$A:$AG,BH2,13)-INDEX('Fundamentals Raw'!$A:$AG,BH2,12))/ABS(INDEX('Fundamentals Raw'!$A:$AG,BH2,12))))*100,"")</f>
        <v>11.3856323122908</v>
      </c>
      <c r="AO2" s="9" t="n">
        <f aca="false">IFERROR((((INDEX('Fundamentals Raw'!$A:$AG,BH2,13)-INDEX('Fundamentals Raw'!$A:$AG,BH2,12))/ABS(INDEX('Fundamentals Raw'!$A:$AG,BH2,12))))*100,"")</f>
        <v>11.0385977997389</v>
      </c>
      <c r="AP2" s="7" t="n">
        <f aca="false">IFERROR((AO2-AN2)/ABS(AN2)*100,"")</f>
        <v>-3.04800386165006</v>
      </c>
      <c r="AQ2" s="5" t="str">
        <f aca="false">IF(AP2="","N/A",IF(ABS(AP2)&lt;3,"Neutral",IF(AP2&gt;0,"Improvement","Deterioration")))</f>
        <v>Deterioration</v>
      </c>
      <c r="AR2" s="5" t="n">
        <f aca="false">IFERROR(AVERAGE(((INDEX('Fundamentals Raw'!$A:$AG,BH2,15)-INDEX('Fundamentals Raw'!$A:$AG,BH2,14))/ABS(INDEX('Fundamentals Raw'!$A:$AG,BH2,14))),((INDEX('Fundamentals Raw'!$A:$AG,BH2,16)-INDEX('Fundamentals Raw'!$A:$AG,BH2,15))/ABS(INDEX('Fundamentals Raw'!$A:$AG,BH2,15))),((INDEX('Fundamentals Raw'!$A:$AG,BH2,17)-INDEX('Fundamentals Raw'!$A:$AG,BH2,16))/ABS(INDEX('Fundamentals Raw'!$A:$AG,BH2,16))))*100,"")</f>
        <v>8.86037239928693</v>
      </c>
      <c r="AS2" s="9" t="n">
        <f aca="false">IFERROR((((INDEX('Fundamentals Raw'!$A:$AG,BH2,17)-INDEX('Fundamentals Raw'!$A:$AG,BH2,16))/ABS(INDEX('Fundamentals Raw'!$A:$AG,BH2,16))))*100,"")</f>
        <v>12.7798607391537</v>
      </c>
      <c r="AT2" s="7" t="n">
        <f aca="false">IFERROR((AS2-AR2)/ABS(AR2)*100,"")</f>
        <v>44.2361580669254</v>
      </c>
      <c r="AU2" s="5" t="str">
        <f aca="false">IF(AT2="","N/A",IF(ABS(AT2)&lt;3,"Neutral",IF(AT2&gt;0,"Improvement","Deterioration")))</f>
        <v>Improvement</v>
      </c>
      <c r="AV2" s="5" t="n">
        <f aca="false">IFERROR(AVERAGE((INDEX('Fundamentals Raw'!$A:$AG,BH2,19)/INDEX('Fundamentals Raw'!$A:$AG,BH2,23)),(INDEX('Fundamentals Raw'!$A:$AG,BH2,20)/INDEX('Fundamentals Raw'!$A:$AG,BH2,24)),(INDEX('Fundamentals Raw'!$A:$AG,BH2,21)/INDEX('Fundamentals Raw'!$A:$AG,BH2,25))),"")</f>
        <v>0.530036506389329</v>
      </c>
      <c r="AW2" s="9" t="n">
        <f aca="false">IFERROR((INDEX('Fundamentals Raw'!$A:$AG,BH2,21)/INDEX('Fundamentals Raw'!$A:$AG,BH2,25)),"")</f>
        <v>0.589247355963278</v>
      </c>
      <c r="AX2" s="7" t="n">
        <f aca="false">IFERROR((AW2-AV2)/ABS(AV2)*100,"")</f>
        <v>11.1710889457973</v>
      </c>
      <c r="AY2" s="5" t="str">
        <f aca="false">IF(AX2="","N/A",IF(ABS(AX2)&lt;3,"Neutral",IF(AX2&gt;0,"Deterioration","Improvement")))</f>
        <v>Deterioration</v>
      </c>
      <c r="AZ2" s="5" t="n">
        <f aca="false">IFERROR(AVERAGE((INDEX('Fundamentals Raw'!$A:$AG,BH2,15)/INDEX('Fundamentals Raw'!$A:$AG,BH2,27)),(INDEX('Fundamentals Raw'!$A:$AG,BH2,16)/INDEX('Fundamentals Raw'!$A:$AG,BH2,28)),(INDEX('Fundamentals Raw'!$A:$AG,BH2,17)/INDEX('Fundamentals Raw'!$A:$AG,BH2,29))),"")</f>
        <v>1.08711468830334</v>
      </c>
      <c r="BA2" s="9" t="n">
        <f aca="false">IFERROR((INDEX('Fundamentals Raw'!$A:$AG,BH2,17)/INDEX('Fundamentals Raw'!$A:$AG,BH2,29)),"")</f>
        <v>1.12712059821458</v>
      </c>
      <c r="BB2" s="7" t="n">
        <f aca="false">IFERROR((BA2-AZ2)/ABS(AZ2)*100,"")</f>
        <v>3.68000822191785</v>
      </c>
      <c r="BC2" s="5" t="str">
        <f aca="false">IF(BB2="","N/A",IF(ABS(BB2)&lt;3,"Neutral",IF(BB2&gt;0,"Improvement","Deterioration")))</f>
        <v>Improvement</v>
      </c>
      <c r="BD2" s="7" t="n">
        <f aca="false">IFERROR((INDEX('Fundamentals Raw'!$A:$AG,BH2,33))/(INDEX('Fundamentals Raw'!$A:$AG,BH2,29))*100,"")</f>
        <v>6.41614784069572</v>
      </c>
      <c r="BE2" s="7" t="n">
        <f aca="false">IFERROR((D2/J2-1)*100,"")</f>
        <v>0</v>
      </c>
      <c r="BF2" s="7" t="n">
        <f aca="false">IFERROR((D2/K2-1)*100,"")</f>
        <v>22.6071164894474</v>
      </c>
      <c r="BG2" s="12" t="n">
        <f aca="false">IFERROR(D2/K2,"")</f>
        <v>1.22607116489447</v>
      </c>
      <c r="BH2" s="5" t="n">
        <f aca="false">IFERROR(MATCH(A2,'Fundamentals Raw'!$A:$A,0),"")</f>
        <v>2</v>
      </c>
      <c r="BI2" s="5" t="n">
        <f aca="false">IFERROR(0.4*(D2/(SUMPRODUCT(('Price History'!$A$2:$A$1561=A2)*('Price History'!$E$2:$E$1561=64)*'Price History'!$C$2:$C$1561)))+0.2*(D2/(SUMPRODUCT(('Price History'!$A$2:$A$1561=A2)*('Price History'!$E$2:$E$1561=127)*'Price History'!$C$2:$C$1561)))+0.2*(D2/(SUMPRODUCT(('Price History'!$A$2:$A$1561=A2)*('Price History'!$E$2:$E$1561=190)*'Price History'!$C$2:$C$1561)))+0.2*(D2/(SUMPRODUCT(('Price History'!$A$2:$A$1561=A2)*('Price History'!$E$2:$E$1561=253)*'Price History'!$C$2:$C$1561))),"")</f>
        <v>1.11938252423437</v>
      </c>
      <c r="BJ2" s="5" t="str">
        <f aca="false">IFERROR(IF(U2&lt;60,"Red",IF(U2&lt;80,"Amber","Green")),"")</f>
        <v>Amber</v>
      </c>
      <c r="BK2" s="7" t="n">
        <f aca="false">IFERROR((S2-(AVERAGEIFS('Price History'!$C$2:$C$1561,'Price History'!$A$2:$A$1561,A2,'Price History'!$E$2:$E$1561,"&gt;=21",'Price History'!$E$2:$E$1561,"&lt;=220")))/ABS(AVERAGEIFS('Price History'!$C$2:$C$1561,'Price History'!$A$2:$A$1561,A2,'Price History'!$E$2:$E$1561,"&gt;=21",'Price History'!$E$2:$E$1561,"&lt;=220"))*100,"")</f>
        <v>1.58753172406704</v>
      </c>
      <c r="BL2" s="11" t="b">
        <f aca="false">IFERROR(BK2&gt;0,"")</f>
        <v>1</v>
      </c>
      <c r="BM2" s="11" t="b">
        <f aca="false">OR(C2="Banks",C2="Finance (including NBFCs)",C2="Housing Finance",C2="Microfinance Institutions",C2="Financial Institutions",C2="Asset Management Cos.",C2="Capital Markets",C2="Investment Companies",C2="General Insurance",C2="Life Insurance",C2="Other Financial Services")</f>
        <v>0</v>
      </c>
      <c r="BN2" s="5" t="n">
        <f aca="false">IFERROR(ROUND(100*(RANK(AF2,$AF$2:$AF$7,1)-1)/(COUNT($AF$2:$AF$7)-1),1),"")</f>
        <v>60</v>
      </c>
      <c r="BO2" s="5" t="n">
        <f aca="false">IFERROR(ROUND(100*(RANK(AJ2,$AJ$2:$AJ$7,1)-1)/(COUNT($AJ$2:$AJ$7)-1),1),"")</f>
        <v>80</v>
      </c>
      <c r="BP2" s="5" t="n">
        <f aca="false">IFERROR(ROUND(100*(RANK(AN2,$AN$2:$AN$7,1)-1)/(COUNT($AN$2:$AN$7)-1),1),"")</f>
        <v>60</v>
      </c>
      <c r="BQ2" s="5" t="n">
        <f aca="false">IFERROR(ROUND(100*(RANK(AR2,$AR$2:$AR$7,1)-1)/(COUNT($AR$2:$AR$7)-1),1),"")</f>
        <v>0</v>
      </c>
      <c r="BR2" s="5" t="n">
        <f aca="false">IFERROR(ROUND(100*(COUNT($AW$2:$AW$7)-RANK(AW2,$AW$2:$AW$7,1))/(COUNT($AW$2:$AW$7)-1),1),"")</f>
        <v>0</v>
      </c>
      <c r="BS2" s="5" t="n">
        <f aca="false">IFERROR(ROUND(100*(RANK(BA2,$BA$2:$BA$7,1)-1)/(COUNT($BA$2:$BA$7)-1),1),"")</f>
        <v>60</v>
      </c>
      <c r="BT2" s="5" t="n">
        <f aca="false">IFERROR(ROUND(100*(RANK(BD2,$BD$2:$BD$7,1)-1)/(COUNT($BD$2:$BD$7)-1),1),"")</f>
        <v>40</v>
      </c>
      <c r="BU2" s="9" t="n">
        <f aca="false">IFERROR(MAX(0,MIN(100,MIN(IF(BM2,(BN2*0.2+BO2*0.325+BP2*0.325+BQ2*0.15),(BN2*0.2+BO2*0.15+BP2*0.15+BQ2*0.15+BR2*0.2+BS2*0.1+BT2*0.05))-(IF(AND(NOT(BM2),AW2&lt;&gt;"",AW2&gt;2),20,0)),IF(AND(AN2&lt;&gt;"",AN2&lt;0),40,999)))),"")</f>
        <v>41</v>
      </c>
      <c r="BV2" s="5" t="str">
        <f aca="false">IFERROR(IF(BU2="","",IF((RANK(BU2,$BU$2:$BU$7,0)-1)/COUNT($BU$2:$BU$7)&lt;0.2,"High",IF((RANK(BU2,$BU$2:$BU$7,0)-1)/COUNT($BU$2:$BU$7)&lt;0.4,"Good",IF((RANK(BU2,$BU$2:$BU$7,0)-1)/COUNT($BU$2:$BU$7)&lt;0.6,"Average",IF((RANK(BU2,$BU$2:$BU$7,0)-1)/COUNT($BU$2:$BU$7)&lt;0.8,"Weak","Poor"))))),"")</f>
        <v>Weak</v>
      </c>
    </row>
    <row r="3" customFormat="false" ht="15" hidden="false" customHeight="false" outlineLevel="0" collapsed="false">
      <c r="A3" s="5" t="str">
        <f aca="false">'Company Master'!A3</f>
        <v>INE467B01029</v>
      </c>
      <c r="B3" s="5" t="str">
        <f aca="false">'Company Master'!C3</f>
        <v>Tata Consultancy Services</v>
      </c>
      <c r="C3" s="5" t="str">
        <f aca="false">'Company Master'!D3</f>
        <v>IT</v>
      </c>
      <c r="D3" s="6" t="n">
        <f aca="false">SUMPRODUCT(('Price History'!$A$2:$A$1561=A3)*('Price History'!$E$2:$E$1561=1)*'Price History'!$C$2:$C$1561)</f>
        <v>3377.09</v>
      </c>
      <c r="E3" s="6" t="n">
        <f aca="false">D3-(SUMPRODUCT(('Price History'!$A$2:$A$1561=A3)*('Price History'!$E$2:$E$1561=2)*'Price History'!$C$2:$C$1561))</f>
        <v>25.6900000000001</v>
      </c>
      <c r="F3" s="7" t="n">
        <f aca="false">IFERROR(E3/(SUMPRODUCT(('Price History'!$A$2:$A$1561=A3)*('Price History'!$E$2:$E$1561=2)*'Price History'!$C$2:$C$1561)),"")</f>
        <v>0.00766545324342068</v>
      </c>
      <c r="G3" s="8" t="n">
        <f aca="false">'Company Master'!E3</f>
        <v>1420000</v>
      </c>
      <c r="H3" s="9" t="n">
        <f aca="false">IFERROR(D3/(INDEX('Fundamentals Raw'!$A:$AG,BH3,13)),'Company Master'!F3)</f>
        <v>57.2970817780794</v>
      </c>
      <c r="I3" s="7" t="n">
        <f aca="false">IFERROR(L3/M3*100,"")</f>
        <v>91.6263960778744</v>
      </c>
      <c r="J3" s="6" t="n">
        <f aca="false">_xlfn.MAXIFS('Price History'!$C$2:$C$1561,'Price History'!$A$2:$A$1561,A3,'Price History'!$E$2:$E$1561,"&lt;=252")</f>
        <v>3440.01</v>
      </c>
      <c r="K3" s="6" t="n">
        <f aca="false">_xlfn.MINIFS('Price History'!$C$2:$C$1561,'Price History'!$A$2:$A$1561,A3,'Price History'!$E$2:$E$1561,"&lt;=252")</f>
        <v>2774.57</v>
      </c>
      <c r="L3" s="8" t="n">
        <f aca="false">SUMPRODUCT(('Price History'!$A$2:$A$1561=A3)*('Price History'!$E$2:$E$1561=1)*'Price History'!$D$2:$D$1561)</f>
        <v>1399467</v>
      </c>
      <c r="M3" s="8" t="n">
        <f aca="false">AVERAGEIFS('Price History'!$D$2:$D$1561,'Price History'!$A$2:$A$1561,A3,'Price History'!$E$2:$E$1561,"&lt;=30")</f>
        <v>1527362.26666667</v>
      </c>
      <c r="N3" s="6" t="n">
        <f aca="false">IFERROR(AVERAGEIFS('Price History'!$C$2:$C$1561,'Price History'!$A$2:$A$1561,A3,'Price History'!$E$2:$E$1561,"&lt;=3"),"")</f>
        <v>3358.27</v>
      </c>
      <c r="O3" s="6" t="n">
        <f aca="false">IFERROR(AVERAGEIFS('Price History'!$C$2:$C$1561,'Price History'!$A$2:$A$1561,A3,'Price History'!$E$2:$E$1561,"&lt;=8"),"")</f>
        <v>3354.24625</v>
      </c>
      <c r="P3" s="6" t="n">
        <f aca="false">IFERROR(AVERAGEIFS('Price History'!$C$2:$C$1561,'Price History'!$A$2:$A$1561,A3,'Price History'!$E$2:$E$1561,"&lt;=30"),"")</f>
        <v>3371.42133333333</v>
      </c>
      <c r="Q3" s="6" t="n">
        <f aca="false">IFERROR(AVERAGEIFS('Price History'!$C$2:$C$1561,'Price History'!$A$2:$A$1561,A3,'Price History'!$E$2:$E$1561,"&lt;=50"),"")</f>
        <v>3360.7744</v>
      </c>
      <c r="R3" s="6" t="n">
        <f aca="false">IFERROR(AVERAGEIFS('Price History'!$C$2:$C$1561,'Price History'!$A$2:$A$1561,A3,'Price History'!$E$2:$E$1561,"&lt;=100"),"")</f>
        <v>3310.9021</v>
      </c>
      <c r="S3" s="6" t="n">
        <f aca="false">IFERROR(AVERAGEIFS('Price History'!$C$2:$C$1561,'Price History'!$A$2:$A$1561,A3,'Price History'!$E$2:$E$1561,"&lt;=200"),"")</f>
        <v>3208.7758</v>
      </c>
      <c r="T3" s="9" t="n">
        <f aca="false">IFERROR(100-100/(1+(AVERAGEIFS('Price History'!$G$2:$G$1561,'Price History'!$A$2:$A$1561,A3,'Price History'!$E$2:$E$1561,"&lt;=14"))/(AVERAGEIFS('Price History'!$H$2:$H$1561,'Price History'!$A$2:$A$1561,A3,'Price History'!$E$2:$E$1561,"&lt;=14"))),100)</f>
        <v>40.2672229672677</v>
      </c>
      <c r="U3" s="10" t="n">
        <f aca="false">IFERROR(ROUND(1+98*(RANK(BI3,$BI$2:$BI$7,1)-1)/(COUNT($BI$2:$BI$7)-1),0),"")</f>
        <v>40</v>
      </c>
      <c r="V3" s="11" t="b">
        <f aca="false">IF(N3="","",D3&gt;N3)</f>
        <v>1</v>
      </c>
      <c r="W3" s="11" t="b">
        <f aca="false">IF(O3="","",D3&gt;O3)</f>
        <v>1</v>
      </c>
      <c r="X3" s="11" t="b">
        <f aca="false">IF(P3="","",D3&gt;P3)</f>
        <v>1</v>
      </c>
      <c r="Y3" s="11" t="b">
        <f aca="false">IF(Q3="","",D3&gt;Q3)</f>
        <v>1</v>
      </c>
      <c r="Z3" s="11" t="b">
        <f aca="false">IF(R3="","",D3&gt;R3)</f>
        <v>1</v>
      </c>
      <c r="AA3" s="11" t="b">
        <f aca="false">IF(S3="","",D3&gt;S3)</f>
        <v>1</v>
      </c>
      <c r="AB3" s="11" t="b">
        <f aca="false">IF(OR(N3="",O3=""),"",N3&gt;O3)</f>
        <v>1</v>
      </c>
      <c r="AC3" s="11" t="b">
        <f aca="false">IF(OR(O3="",P3=""),"",O3&gt;P3)</f>
        <v>0</v>
      </c>
      <c r="AD3" s="11" t="b">
        <f aca="false">IF(OR(P3="",R3=""),"",P3&gt;R3)</f>
        <v>1</v>
      </c>
      <c r="AE3" s="11" t="b">
        <f aca="false">IF(OR(R3="",S3=""),"",R3&gt;S3)</f>
        <v>1</v>
      </c>
      <c r="AF3" s="5" t="n">
        <f aca="false">IFERROR(AVERAGE(INDEX('Fundamentals Raw'!$A:$AG,BH3,3),INDEX('Fundamentals Raw'!$A:$AG,BH3,4),INDEX('Fundamentals Raw'!$A:$AG,BH3,5)),"")</f>
        <v>16.25</v>
      </c>
      <c r="AG3" s="9" t="n">
        <f aca="false">IFERROR(INDEX('Fundamentals Raw'!$A:$AG,BH3,5),"")</f>
        <v>13.83</v>
      </c>
      <c r="AH3" s="7" t="n">
        <f aca="false">IFERROR((AG3-AF3)/ABS(AF3)*100,"")</f>
        <v>-14.8923076923077</v>
      </c>
      <c r="AI3" s="5" t="str">
        <f aca="false">IF(AH3="","N/A",IF(ABS(AH3)&lt;3,"Neutral",IF(AH3&gt;0,"Improvement","Deterioration")))</f>
        <v>Deterioration</v>
      </c>
      <c r="AJ3" s="5" t="n">
        <f aca="false">IFERROR(AVERAGE(INDEX('Fundamentals Raw'!$A:$AG,BH3,7),INDEX('Fundamentals Raw'!$A:$AG,BH3,8),INDEX('Fundamentals Raw'!$A:$AG,BH3,9)),"")</f>
        <v>16.13</v>
      </c>
      <c r="AK3" s="9" t="n">
        <f aca="false">IFERROR(INDEX('Fundamentals Raw'!$A:$AG,BH3,9),"")</f>
        <v>15.89</v>
      </c>
      <c r="AL3" s="7" t="n">
        <f aca="false">IFERROR((AK3-AJ3)/ABS(AJ3)*100,"")</f>
        <v>-1.48791072535647</v>
      </c>
      <c r="AM3" s="5" t="str">
        <f aca="false">IF(AL3="","N/A",IF(ABS(AL3)&lt;3,"Neutral",IF(AL3&gt;0,"Improvement","Deterioration")))</f>
        <v>Neutral</v>
      </c>
      <c r="AN3" s="5" t="n">
        <f aca="false">IFERROR(AVERAGE(((INDEX('Fundamentals Raw'!$A:$AG,BH3,11)-INDEX('Fundamentals Raw'!$A:$AG,BH3,10))/ABS(INDEX('Fundamentals Raw'!$A:$AG,BH3,10))),((INDEX('Fundamentals Raw'!$A:$AG,BH3,12)-INDEX('Fundamentals Raw'!$A:$AG,BH3,11))/ABS(INDEX('Fundamentals Raw'!$A:$AG,BH3,11))),((INDEX('Fundamentals Raw'!$A:$AG,BH3,13)-INDEX('Fundamentals Raw'!$A:$AG,BH3,12))/ABS(INDEX('Fundamentals Raw'!$A:$AG,BH3,12))))*100,"")</f>
        <v>9.08148993654652</v>
      </c>
      <c r="AO3" s="9" t="n">
        <f aca="false">IFERROR((((INDEX('Fundamentals Raw'!$A:$AG,BH3,13)-INDEX('Fundamentals Raw'!$A:$AG,BH3,12))/ABS(INDEX('Fundamentals Raw'!$A:$AG,BH3,12))))*100,"")</f>
        <v>12.7606657738665</v>
      </c>
      <c r="AP3" s="7" t="n">
        <f aca="false">IFERROR((AO3-AN3)/ABS(AN3)*100,"")</f>
        <v>40.5129099192619</v>
      </c>
      <c r="AQ3" s="5" t="str">
        <f aca="false">IF(AP3="","N/A",IF(ABS(AP3)&lt;3,"Neutral",IF(AP3&gt;0,"Improvement","Deterioration")))</f>
        <v>Improvement</v>
      </c>
      <c r="AR3" s="5" t="n">
        <f aca="false">IFERROR(AVERAGE(((INDEX('Fundamentals Raw'!$A:$AG,BH3,15)-INDEX('Fundamentals Raw'!$A:$AG,BH3,14))/ABS(INDEX('Fundamentals Raw'!$A:$AG,BH3,14))),((INDEX('Fundamentals Raw'!$A:$AG,BH3,16)-INDEX('Fundamentals Raw'!$A:$AG,BH3,15))/ABS(INDEX('Fundamentals Raw'!$A:$AG,BH3,15))),((INDEX('Fundamentals Raw'!$A:$AG,BH3,17)-INDEX('Fundamentals Raw'!$A:$AG,BH3,16))/ABS(INDEX('Fundamentals Raw'!$A:$AG,BH3,16))))*100,"")</f>
        <v>10.1413296068406</v>
      </c>
      <c r="AS3" s="9" t="n">
        <f aca="false">IFERROR((((INDEX('Fundamentals Raw'!$A:$AG,BH3,17)-INDEX('Fundamentals Raw'!$A:$AG,BH3,16))/ABS(INDEX('Fundamentals Raw'!$A:$AG,BH3,16))))*100,"")</f>
        <v>12.7429863151325</v>
      </c>
      <c r="AT3" s="7" t="n">
        <f aca="false">IFERROR((AS3-AR3)/ABS(AR3)*100,"")</f>
        <v>25.6540001080034</v>
      </c>
      <c r="AU3" s="5" t="str">
        <f aca="false">IF(AT3="","N/A",IF(ABS(AT3)&lt;3,"Neutral",IF(AT3&gt;0,"Improvement","Deterioration")))</f>
        <v>Improvement</v>
      </c>
      <c r="AV3" s="5" t="n">
        <f aca="false">IFERROR(AVERAGE((INDEX('Fundamentals Raw'!$A:$AG,BH3,19)/INDEX('Fundamentals Raw'!$A:$AG,BH3,23)),(INDEX('Fundamentals Raw'!$A:$AG,BH3,20)/INDEX('Fundamentals Raw'!$A:$AG,BH3,24)),(INDEX('Fundamentals Raw'!$A:$AG,BH3,21)/INDEX('Fundamentals Raw'!$A:$AG,BH3,25))),"")</f>
        <v>0.395567793093399</v>
      </c>
      <c r="AW3" s="9" t="n">
        <f aca="false">IFERROR((INDEX('Fundamentals Raw'!$A:$AG,BH3,21)/INDEX('Fundamentals Raw'!$A:$AG,BH3,25)),"")</f>
        <v>0.307095643234195</v>
      </c>
      <c r="AX3" s="7" t="n">
        <f aca="false">IFERROR((AW3-AV3)/ABS(AV3)*100,"")</f>
        <v>-22.3658627936664</v>
      </c>
      <c r="AY3" s="5" t="str">
        <f aca="false">IF(AX3="","N/A",IF(ABS(AX3)&lt;3,"Neutral",IF(AX3&gt;0,"Deterioration","Improvement")))</f>
        <v>Improvement</v>
      </c>
      <c r="AZ3" s="5" t="n">
        <f aca="false">IFERROR(AVERAGE((INDEX('Fundamentals Raw'!$A:$AG,BH3,15)/INDEX('Fundamentals Raw'!$A:$AG,BH3,27)),(INDEX('Fundamentals Raw'!$A:$AG,BH3,16)/INDEX('Fundamentals Raw'!$A:$AG,BH3,28)),(INDEX('Fundamentals Raw'!$A:$AG,BH3,17)/INDEX('Fundamentals Raw'!$A:$AG,BH3,29))),"")</f>
        <v>1.12359038477106</v>
      </c>
      <c r="BA3" s="9" t="n">
        <f aca="false">IFERROR((INDEX('Fundamentals Raw'!$A:$AG,BH3,17)/INDEX('Fundamentals Raw'!$A:$AG,BH3,29)),"")</f>
        <v>1.02658844565187</v>
      </c>
      <c r="BB3" s="7" t="n">
        <f aca="false">IFERROR((BA3-AZ3)/ABS(AZ3)*100,"")</f>
        <v>-8.63321192793486</v>
      </c>
      <c r="BC3" s="5" t="str">
        <f aca="false">IF(BB3="","N/A",IF(ABS(BB3)&lt;3,"Neutral",IF(BB3&gt;0,"Improvement","Deterioration")))</f>
        <v>Deterioration</v>
      </c>
      <c r="BD3" s="7" t="n">
        <f aca="false">IFERROR((INDEX('Fundamentals Raw'!$A:$AG,BH3,33))/(INDEX('Fundamentals Raw'!$A:$AG,BH3,29))*100,"")</f>
        <v>9.54314861530785</v>
      </c>
      <c r="BE3" s="7" t="n">
        <f aca="false">IFERROR((D3/J3-1)*100,"")</f>
        <v>-1.82906445039405</v>
      </c>
      <c r="BF3" s="7" t="n">
        <f aca="false">IFERROR((D3/K3-1)*100,"")</f>
        <v>21.7157974028408</v>
      </c>
      <c r="BG3" s="12" t="n">
        <f aca="false">IFERROR(D3/K3,"")</f>
        <v>1.21715797402841</v>
      </c>
      <c r="BH3" s="5" t="n">
        <f aca="false">IFERROR(MATCH(A3,'Fundamentals Raw'!$A:$A,0),"")</f>
        <v>3</v>
      </c>
      <c r="BI3" s="5" t="n">
        <f aca="false">IFERROR(0.4*(D3/(SUMPRODUCT(('Price History'!$A$2:$A$1561=A3)*('Price History'!$E$2:$E$1561=64)*'Price History'!$C$2:$C$1561)))+0.2*(D3/(SUMPRODUCT(('Price History'!$A$2:$A$1561=A3)*('Price History'!$E$2:$E$1561=127)*'Price History'!$C$2:$C$1561)))+0.2*(D3/(SUMPRODUCT(('Price History'!$A$2:$A$1561=A3)*('Price History'!$E$2:$E$1561=190)*'Price History'!$C$2:$C$1561)))+0.2*(D3/(SUMPRODUCT(('Price History'!$A$2:$A$1561=A3)*('Price History'!$E$2:$E$1561=253)*'Price History'!$C$2:$C$1561))),"")</f>
        <v>1.08243184012891</v>
      </c>
      <c r="BJ3" s="5" t="str">
        <f aca="false">IFERROR(IF(U3&lt;60,"Red",IF(U3&lt;80,"Amber","Green")),"")</f>
        <v>Red</v>
      </c>
      <c r="BK3" s="7" t="n">
        <f aca="false">IFERROR((S3-(AVERAGEIFS('Price History'!$C$2:$C$1561,'Price History'!$A$2:$A$1561,A3,'Price History'!$E$2:$E$1561,"&gt;=21",'Price History'!$E$2:$E$1561,"&lt;=220")))/ABS(AVERAGEIFS('Price History'!$C$2:$C$1561,'Price History'!$A$2:$A$1561,A3,'Price History'!$E$2:$E$1561,"&gt;=21",'Price History'!$E$2:$E$1561,"&lt;=220"))*100,"")</f>
        <v>1.18604543469973</v>
      </c>
      <c r="BL3" s="11" t="b">
        <f aca="false">IFERROR(BK3&gt;0,"")</f>
        <v>1</v>
      </c>
      <c r="BM3" s="11" t="b">
        <f aca="false">OR(C3="Banks",C3="Finance (including NBFCs)",C3="Housing Finance",C3="Microfinance Institutions",C3="Financial Institutions",C3="Asset Management Cos.",C3="Capital Markets",C3="Investment Companies",C3="General Insurance",C3="Life Insurance",C3="Other Financial Services")</f>
        <v>0</v>
      </c>
      <c r="BN3" s="5" t="n">
        <f aca="false">IFERROR(ROUND(100*(RANK(AF3,$AF$2:$AF$7,1)-1)/(COUNT($AF$2:$AF$7)-1),1),"")</f>
        <v>80</v>
      </c>
      <c r="BO3" s="5" t="n">
        <f aca="false">IFERROR(ROUND(100*(RANK(AJ3,$AJ$2:$AJ$7,1)-1)/(COUNT($AJ$2:$AJ$7)-1),1),"")</f>
        <v>20</v>
      </c>
      <c r="BP3" s="5" t="n">
        <f aca="false">IFERROR(ROUND(100*(RANK(AN3,$AN$2:$AN$7,1)-1)/(COUNT($AN$2:$AN$7)-1),1),"")</f>
        <v>0</v>
      </c>
      <c r="BQ3" s="5" t="n">
        <f aca="false">IFERROR(ROUND(100*(RANK(AR3,$AR$2:$AR$7,1)-1)/(COUNT($AR$2:$AR$7)-1),1),"")</f>
        <v>60</v>
      </c>
      <c r="BR3" s="5" t="n">
        <f aca="false">IFERROR(ROUND(100*(COUNT($AW$2:$AW$7)-RANK(AW3,$AW$2:$AW$7,1))/(COUNT($AW$2:$AW$7)-1),1),"")</f>
        <v>100</v>
      </c>
      <c r="BS3" s="5" t="n">
        <f aca="false">IFERROR(ROUND(100*(RANK(BA3,$BA$2:$BA$7,1)-1)/(COUNT($BA$2:$BA$7)-1),1),"")</f>
        <v>20</v>
      </c>
      <c r="BT3" s="5" t="n">
        <f aca="false">IFERROR(ROUND(100*(RANK(BD3,$BD$2:$BD$7,1)-1)/(COUNT($BD$2:$BD$7)-1),1),"")</f>
        <v>80</v>
      </c>
      <c r="BU3" s="9" t="n">
        <f aca="false">IFERROR(MAX(0,MIN(100,MIN(IF(BM3,(BN3*0.2+BO3*0.325+BP3*0.325+BQ3*0.15),(BN3*0.2+BO3*0.15+BP3*0.15+BQ3*0.15+BR3*0.2+BS3*0.1+BT3*0.05))-(IF(AND(NOT(BM3),AW3&lt;&gt;"",AW3&gt;2),20,0)),IF(AND(AN3&lt;&gt;"",AN3&lt;0),40,999)))),"")</f>
        <v>54</v>
      </c>
      <c r="BV3" s="5" t="str">
        <f aca="false">IFERROR(IF(BU3="","",IF((RANK(BU3,$BU$2:$BU$7,0)-1)/COUNT($BU$2:$BU$7)&lt;0.2,"High",IF((RANK(BU3,$BU$2:$BU$7,0)-1)/COUNT($BU$2:$BU$7)&lt;0.4,"Good",IF((RANK(BU3,$BU$2:$BU$7,0)-1)/COUNT($BU$2:$BU$7)&lt;0.6,"Average",IF((RANK(BU3,$BU$2:$BU$7,0)-1)/COUNT($BU$2:$BU$7)&lt;0.8,"Weak","Poor"))))),"")</f>
        <v>Average</v>
      </c>
    </row>
    <row r="4" customFormat="false" ht="15" hidden="false" customHeight="false" outlineLevel="0" collapsed="false">
      <c r="A4" s="5" t="str">
        <f aca="false">'Company Master'!A4</f>
        <v>INE040A01034</v>
      </c>
      <c r="B4" s="5" t="str">
        <f aca="false">'Company Master'!C4</f>
        <v>HDFC Bank</v>
      </c>
      <c r="C4" s="5" t="str">
        <f aca="false">'Company Master'!D4</f>
        <v>Banks</v>
      </c>
      <c r="D4" s="6" t="n">
        <f aca="false">SUMPRODUCT(('Price History'!$A$2:$A$1561=A4)*('Price History'!$E$2:$E$1561=1)*'Price History'!$C$2:$C$1561)</f>
        <v>2152.47</v>
      </c>
      <c r="E4" s="6" t="n">
        <f aca="false">D4-(SUMPRODUCT(('Price History'!$A$2:$A$1561=A4)*('Price History'!$E$2:$E$1561=2)*'Price History'!$C$2:$C$1561))</f>
        <v>17.8199999999997</v>
      </c>
      <c r="F4" s="7" t="n">
        <f aca="false">IFERROR(E4/(SUMPRODUCT(('Price History'!$A$2:$A$1561=A4)*('Price History'!$E$2:$E$1561=2)*'Price History'!$C$2:$C$1561)),"")</f>
        <v>0.00834797273557712</v>
      </c>
      <c r="G4" s="8" t="n">
        <f aca="false">'Company Master'!E4</f>
        <v>1280000</v>
      </c>
      <c r="H4" s="9" t="n">
        <f aca="false">IFERROR(D4/(INDEX('Fundamentals Raw'!$A:$AG,BH4,13)),'Company Master'!F4)</f>
        <v>33.4027001862197</v>
      </c>
      <c r="I4" s="7" t="n">
        <f aca="false">IFERROR(L4/M4*100,"")</f>
        <v>137.43582705071</v>
      </c>
      <c r="J4" s="6" t="n">
        <f aca="false">_xlfn.MAXIFS('Price History'!$C$2:$C$1561,'Price History'!$A$2:$A$1561,A4,'Price History'!$E$2:$E$1561,"&lt;=252")</f>
        <v>2189.55</v>
      </c>
      <c r="K4" s="6" t="n">
        <f aca="false">_xlfn.MINIFS('Price History'!$C$2:$C$1561,'Price History'!$A$2:$A$1561,A4,'Price History'!$E$2:$E$1561,"&lt;=252")</f>
        <v>1789</v>
      </c>
      <c r="L4" s="8" t="n">
        <f aca="false">SUMPRODUCT(('Price History'!$A$2:$A$1561=A4)*('Price History'!$E$2:$E$1561=1)*'Price History'!$D$2:$D$1561)</f>
        <v>2090810</v>
      </c>
      <c r="M4" s="8" t="n">
        <f aca="false">AVERAGEIFS('Price History'!$D$2:$D$1561,'Price History'!$A$2:$A$1561,A4,'Price History'!$E$2:$E$1561,"&lt;=30")</f>
        <v>1521299.1</v>
      </c>
      <c r="N4" s="6" t="n">
        <f aca="false">IFERROR(AVERAGEIFS('Price History'!$C$2:$C$1561,'Price History'!$A$2:$A$1561,A4,'Price History'!$E$2:$E$1561,"&lt;=3"),"")</f>
        <v>2142.55333333333</v>
      </c>
      <c r="O4" s="6" t="n">
        <f aca="false">IFERROR(AVERAGEIFS('Price History'!$C$2:$C$1561,'Price History'!$A$2:$A$1561,A4,'Price History'!$E$2:$E$1561,"&lt;=8"),"")</f>
        <v>2156.09</v>
      </c>
      <c r="P4" s="6" t="n">
        <f aca="false">IFERROR(AVERAGEIFS('Price History'!$C$2:$C$1561,'Price History'!$A$2:$A$1561,A4,'Price History'!$E$2:$E$1561,"&lt;=30"),"")</f>
        <v>2153.90566666667</v>
      </c>
      <c r="Q4" s="6" t="n">
        <f aca="false">IFERROR(AVERAGEIFS('Price History'!$C$2:$C$1561,'Price History'!$A$2:$A$1561,A4,'Price History'!$E$2:$E$1561,"&lt;=50"),"")</f>
        <v>2127.8162</v>
      </c>
      <c r="R4" s="6" t="n">
        <f aca="false">IFERROR(AVERAGEIFS('Price History'!$C$2:$C$1561,'Price History'!$A$2:$A$1561,A4,'Price History'!$E$2:$E$1561,"&lt;=100"),"")</f>
        <v>2085.7139</v>
      </c>
      <c r="S4" s="6" t="n">
        <f aca="false">IFERROR(AVERAGEIFS('Price History'!$C$2:$C$1561,'Price History'!$A$2:$A$1561,A4,'Price History'!$E$2:$E$1561,"&lt;=200"),"")</f>
        <v>2037.26425</v>
      </c>
      <c r="T4" s="9" t="n">
        <f aca="false">IFERROR(100-100/(1+(AVERAGEIFS('Price History'!$G$2:$G$1561,'Price History'!$A$2:$A$1561,A4,'Price History'!$E$2:$E$1561,"&lt;=14"))/(AVERAGEIFS('Price History'!$H$2:$H$1561,'Price History'!$A$2:$A$1561,A4,'Price History'!$E$2:$E$1561,"&lt;=14"))),100)</f>
        <v>36.5155925155923</v>
      </c>
      <c r="U4" s="10" t="n">
        <f aca="false">IFERROR(ROUND(1+98*(RANK(BI4,$BI$2:$BI$7,1)-1)/(COUNT($BI$2:$BI$7)-1),0),"")</f>
        <v>60</v>
      </c>
      <c r="V4" s="11" t="b">
        <f aca="false">IF(N4="","",D4&gt;N4)</f>
        <v>1</v>
      </c>
      <c r="W4" s="11" t="b">
        <f aca="false">IF(O4="","",D4&gt;O4)</f>
        <v>0</v>
      </c>
      <c r="X4" s="11" t="b">
        <f aca="false">IF(P4="","",D4&gt;P4)</f>
        <v>0</v>
      </c>
      <c r="Y4" s="11" t="b">
        <f aca="false">IF(Q4="","",D4&gt;Q4)</f>
        <v>1</v>
      </c>
      <c r="Z4" s="11" t="b">
        <f aca="false">IF(R4="","",D4&gt;R4)</f>
        <v>1</v>
      </c>
      <c r="AA4" s="11" t="b">
        <f aca="false">IF(S4="","",D4&gt;S4)</f>
        <v>1</v>
      </c>
      <c r="AB4" s="11" t="b">
        <f aca="false">IF(OR(N4="",O4=""),"",N4&gt;O4)</f>
        <v>0</v>
      </c>
      <c r="AC4" s="11" t="b">
        <f aca="false">IF(OR(O4="",P4=""),"",O4&gt;P4)</f>
        <v>1</v>
      </c>
      <c r="AD4" s="11" t="b">
        <f aca="false">IF(OR(P4="",R4=""),"",P4&gt;R4)</f>
        <v>1</v>
      </c>
      <c r="AE4" s="11" t="b">
        <f aca="false">IF(OR(R4="",S4=""),"",R4&gt;S4)</f>
        <v>1</v>
      </c>
      <c r="AF4" s="5" t="n">
        <f aca="false">IFERROR(AVERAGE(INDEX('Fundamentals Raw'!$A:$AG,BH4,3),INDEX('Fundamentals Raw'!$A:$AG,BH4,4),INDEX('Fundamentals Raw'!$A:$AG,BH4,5)),"")</f>
        <v>16.01</v>
      </c>
      <c r="AG4" s="9" t="n">
        <f aca="false">IFERROR(INDEX('Fundamentals Raw'!$A:$AG,BH4,5),"")</f>
        <v>17.45</v>
      </c>
      <c r="AH4" s="7" t="n">
        <f aca="false">IFERROR((AG4-AF4)/ABS(AF4)*100,"")</f>
        <v>8.99437851342909</v>
      </c>
      <c r="AI4" s="5" t="str">
        <f aca="false">IF(AH4="","N/A",IF(ABS(AH4)&lt;3,"Neutral",IF(AH4&gt;0,"Improvement","Deterioration")))</f>
        <v>Improvement</v>
      </c>
      <c r="AJ4" s="5" t="n">
        <f aca="false">IFERROR(AVERAGE(INDEX('Fundamentals Raw'!$A:$AG,BH4,7),INDEX('Fundamentals Raw'!$A:$AG,BH4,8),INDEX('Fundamentals Raw'!$A:$AG,BH4,9)),"")</f>
        <v>17.2933333333333</v>
      </c>
      <c r="AK4" s="9" t="n">
        <f aca="false">IFERROR(INDEX('Fundamentals Raw'!$A:$AG,BH4,9),"")</f>
        <v>15.6</v>
      </c>
      <c r="AL4" s="7" t="n">
        <f aca="false">IFERROR((AK4-AJ4)/ABS(AJ4)*100,"")</f>
        <v>-9.79182729375482</v>
      </c>
      <c r="AM4" s="5" t="str">
        <f aca="false">IF(AL4="","N/A",IF(ABS(AL4)&lt;3,"Neutral",IF(AL4&gt;0,"Improvement","Deterioration")))</f>
        <v>Deterioration</v>
      </c>
      <c r="AN4" s="5" t="n">
        <f aca="false">IFERROR(AVERAGE(((INDEX('Fundamentals Raw'!$A:$AG,BH4,11)-INDEX('Fundamentals Raw'!$A:$AG,BH4,10))/ABS(INDEX('Fundamentals Raw'!$A:$AG,BH4,10))),((INDEX('Fundamentals Raw'!$A:$AG,BH4,12)-INDEX('Fundamentals Raw'!$A:$AG,BH4,11))/ABS(INDEX('Fundamentals Raw'!$A:$AG,BH4,11))),((INDEX('Fundamentals Raw'!$A:$AG,BH4,13)-INDEX('Fundamentals Raw'!$A:$AG,BH4,12))/ABS(INDEX('Fundamentals Raw'!$A:$AG,BH4,12))))*100,"")</f>
        <v>13.0362459429896</v>
      </c>
      <c r="AO4" s="9" t="n">
        <f aca="false">IFERROR((((INDEX('Fundamentals Raw'!$A:$AG,BH4,13)-INDEX('Fundamentals Raw'!$A:$AG,BH4,12))/ABS(INDEX('Fundamentals Raw'!$A:$AG,BH4,12))))*100,"")</f>
        <v>12.2061640257705</v>
      </c>
      <c r="AP4" s="7" t="n">
        <f aca="false">IFERROR((AO4-AN4)/ABS(AN4)*100,"")</f>
        <v>-6.36749199769008</v>
      </c>
      <c r="AQ4" s="5" t="str">
        <f aca="false">IF(AP4="","N/A",IF(ABS(AP4)&lt;3,"Neutral",IF(AP4&gt;0,"Improvement","Deterioration")))</f>
        <v>Deterioration</v>
      </c>
      <c r="AR4" s="5" t="n">
        <f aca="false">IFERROR(AVERAGE(((INDEX('Fundamentals Raw'!$A:$AG,BH4,15)-INDEX('Fundamentals Raw'!$A:$AG,BH4,14))/ABS(INDEX('Fundamentals Raw'!$A:$AG,BH4,14))),((INDEX('Fundamentals Raw'!$A:$AG,BH4,16)-INDEX('Fundamentals Raw'!$A:$AG,BH4,15))/ABS(INDEX('Fundamentals Raw'!$A:$AG,BH4,15))),((INDEX('Fundamentals Raw'!$A:$AG,BH4,17)-INDEX('Fundamentals Raw'!$A:$AG,BH4,16))/ABS(INDEX('Fundamentals Raw'!$A:$AG,BH4,16))))*100,"")</f>
        <v>9.26264004516959</v>
      </c>
      <c r="AS4" s="9" t="n">
        <f aca="false">IFERROR((((INDEX('Fundamentals Raw'!$A:$AG,BH4,17)-INDEX('Fundamentals Raw'!$A:$AG,BH4,16))/ABS(INDEX('Fundamentals Raw'!$A:$AG,BH4,16))))*100,"")</f>
        <v>6.09163894899073</v>
      </c>
      <c r="AT4" s="7" t="n">
        <f aca="false">IFERROR((AS4-AR4)/ABS(AR4)*100,"")</f>
        <v>-34.234312039714</v>
      </c>
      <c r="AU4" s="5" t="str">
        <f aca="false">IF(AT4="","N/A",IF(ABS(AT4)&lt;3,"Neutral",IF(AT4&gt;0,"Improvement","Deterioration")))</f>
        <v>Deterioration</v>
      </c>
      <c r="AV4" s="5" t="n">
        <f aca="false">IFERROR(AVERAGE((INDEX('Fundamentals Raw'!$A:$AG,BH4,19)/INDEX('Fundamentals Raw'!$A:$AG,BH4,23)),(INDEX('Fundamentals Raw'!$A:$AG,BH4,20)/INDEX('Fundamentals Raw'!$A:$AG,BH4,24)),(INDEX('Fundamentals Raw'!$A:$AG,BH4,21)/INDEX('Fundamentals Raw'!$A:$AG,BH4,25))),"")</f>
        <v>0.486215505631151</v>
      </c>
      <c r="AW4" s="9" t="n">
        <f aca="false">IFERROR((INDEX('Fundamentals Raw'!$A:$AG,BH4,21)/INDEX('Fundamentals Raw'!$A:$AG,BH4,25)),"")</f>
        <v>0.456386012006117</v>
      </c>
      <c r="AX4" s="7" t="n">
        <f aca="false">IFERROR((AW4-AV4)/ABS(AV4)*100,"")</f>
        <v>-6.13503544818323</v>
      </c>
      <c r="AY4" s="5" t="str">
        <f aca="false">IF(AX4="","N/A",IF(ABS(AX4)&lt;3,"Neutral",IF(AX4&gt;0,"Deterioration","Improvement")))</f>
        <v>Improvement</v>
      </c>
      <c r="AZ4" s="5" t="n">
        <f aca="false">IFERROR(AVERAGE((INDEX('Fundamentals Raw'!$A:$AG,BH4,15)/INDEX('Fundamentals Raw'!$A:$AG,BH4,27)),(INDEX('Fundamentals Raw'!$A:$AG,BH4,16)/INDEX('Fundamentals Raw'!$A:$AG,BH4,28)),(INDEX('Fundamentals Raw'!$A:$AG,BH4,17)/INDEX('Fundamentals Raw'!$A:$AG,BH4,29))),"")</f>
        <v>1.04631584231784</v>
      </c>
      <c r="BA4" s="9" t="n">
        <f aca="false">IFERROR((INDEX('Fundamentals Raw'!$A:$AG,BH4,17)/INDEX('Fundamentals Raw'!$A:$AG,BH4,29)),"")</f>
        <v>0.966930737735733</v>
      </c>
      <c r="BB4" s="7" t="n">
        <f aca="false">IFERROR((BA4-AZ4)/ABS(AZ4)*100,"")</f>
        <v>-7.58710719759806</v>
      </c>
      <c r="BC4" s="5" t="str">
        <f aca="false">IF(BB4="","N/A",IF(ABS(BB4)&lt;3,"Neutral",IF(BB4&gt;0,"Improvement","Deterioration")))</f>
        <v>Deterioration</v>
      </c>
      <c r="BD4" s="7" t="n">
        <f aca="false">IFERROR((INDEX('Fundamentals Raw'!$A:$AG,BH4,33))/(INDEX('Fundamentals Raw'!$A:$AG,BH4,29))*100,"")</f>
        <v>5.47816458075585</v>
      </c>
      <c r="BE4" s="7" t="n">
        <f aca="false">IFERROR((D4/J4-1)*100,"")</f>
        <v>-1.69349866410908</v>
      </c>
      <c r="BF4" s="7" t="n">
        <f aca="false">IFERROR((D4/K4-1)*100,"")</f>
        <v>20.3169368362213</v>
      </c>
      <c r="BG4" s="12" t="n">
        <f aca="false">IFERROR(D4/K4,"")</f>
        <v>1.20316936836221</v>
      </c>
      <c r="BH4" s="5" t="n">
        <f aca="false">IFERROR(MATCH(A4,'Fundamentals Raw'!$A:$A,0),"")</f>
        <v>4</v>
      </c>
      <c r="BI4" s="5" t="n">
        <f aca="false">IFERROR(0.4*(D4/(SUMPRODUCT(('Price History'!$A$2:$A$1561=A4)*('Price History'!$E$2:$E$1561=64)*'Price History'!$C$2:$C$1561)))+0.2*(D4/(SUMPRODUCT(('Price History'!$A$2:$A$1561=A4)*('Price History'!$E$2:$E$1561=127)*'Price History'!$C$2:$C$1561)))+0.2*(D4/(SUMPRODUCT(('Price History'!$A$2:$A$1561=A4)*('Price History'!$E$2:$E$1561=190)*'Price History'!$C$2:$C$1561)))+0.2*(D4/(SUMPRODUCT(('Price History'!$A$2:$A$1561=A4)*('Price History'!$E$2:$E$1561=253)*'Price History'!$C$2:$C$1561))),"")</f>
        <v>1.10043315519251</v>
      </c>
      <c r="BJ4" s="5" t="str">
        <f aca="false">IFERROR(IF(U4&lt;60,"Red",IF(U4&lt;80,"Amber","Green")),"")</f>
        <v>Amber</v>
      </c>
      <c r="BK4" s="7" t="n">
        <f aca="false">IFERROR((S4-(AVERAGEIFS('Price History'!$C$2:$C$1561,'Price History'!$A$2:$A$1561,A4,'Price History'!$E$2:$E$1561,"&gt;=21",'Price History'!$E$2:$E$1561,"&lt;=220")))/ABS(AVERAGEIFS('Price History'!$C$2:$C$1561,'Price History'!$A$2:$A$1561,A4,'Price History'!$E$2:$E$1561,"&gt;=21",'Price History'!$E$2:$E$1561,"&lt;=220"))*100,"")</f>
        <v>1.15854209576093</v>
      </c>
      <c r="BL4" s="11" t="b">
        <f aca="false">IFERROR(BK4&gt;0,"")</f>
        <v>1</v>
      </c>
      <c r="BM4" s="11" t="b">
        <f aca="false">OR(C4="Banks",C4="Finance (including NBFCs)",C4="Housing Finance",C4="Microfinance Institutions",C4="Financial Institutions",C4="Asset Management Cos.",C4="Capital Markets",C4="Investment Companies",C4="General Insurance",C4="Life Insurance",C4="Other Financial Services")</f>
        <v>1</v>
      </c>
      <c r="BN4" s="5" t="n">
        <f aca="false">IFERROR(ROUND(100*(RANK(AF4,$AF$2:$AF$7,1)-1)/(COUNT($AF$2:$AF$7)-1),1),"")</f>
        <v>40</v>
      </c>
      <c r="BO4" s="5" t="n">
        <f aca="false">IFERROR(ROUND(100*(RANK(AJ4,$AJ$2:$AJ$7,1)-1)/(COUNT($AJ$2:$AJ$7)-1),1),"")</f>
        <v>100</v>
      </c>
      <c r="BP4" s="5" t="n">
        <f aca="false">IFERROR(ROUND(100*(RANK(AN4,$AN$2:$AN$7,1)-1)/(COUNT($AN$2:$AN$7)-1),1),"")</f>
        <v>100</v>
      </c>
      <c r="BQ4" s="5" t="n">
        <f aca="false">IFERROR(ROUND(100*(RANK(AR4,$AR$2:$AR$7,1)-1)/(COUNT($AR$2:$AR$7)-1),1),"")</f>
        <v>20</v>
      </c>
      <c r="BR4" s="5" t="n">
        <f aca="false">IFERROR(ROUND(100*(COUNT($AW$2:$AW$7)-RANK(AW4,$AW$2:$AW$7,1))/(COUNT($AW$2:$AW$7)-1),1),"")</f>
        <v>20</v>
      </c>
      <c r="BS4" s="5" t="n">
        <f aca="false">IFERROR(ROUND(100*(RANK(BA4,$BA$2:$BA$7,1)-1)/(COUNT($BA$2:$BA$7)-1),1),"")</f>
        <v>0</v>
      </c>
      <c r="BT4" s="5" t="n">
        <f aca="false">IFERROR(ROUND(100*(RANK(BD4,$BD$2:$BD$7,1)-1)/(COUNT($BD$2:$BD$7)-1),1),"")</f>
        <v>0</v>
      </c>
      <c r="BU4" s="9" t="n">
        <f aca="false">IFERROR(MAX(0,MIN(100,MIN(IF(BM4,(BN4*0.2+BO4*0.325+BP4*0.325+BQ4*0.15),(BN4*0.2+BO4*0.15+BP4*0.15+BQ4*0.15+BR4*0.2+BS4*0.1+BT4*0.05))-(IF(AND(NOT(BM4),AW4&lt;&gt;"",AW4&gt;2),20,0)),IF(AND(AN4&lt;&gt;"",AN4&lt;0),40,999)))),"")</f>
        <v>76</v>
      </c>
      <c r="BV4" s="5" t="str">
        <f aca="false">IFERROR(IF(BU4="","",IF((RANK(BU4,$BU$2:$BU$7,0)-1)/COUNT($BU$2:$BU$7)&lt;0.2,"High",IF((RANK(BU4,$BU$2:$BU$7,0)-1)/COUNT($BU$2:$BU$7)&lt;0.4,"Good",IF((RANK(BU4,$BU$2:$BU$7,0)-1)/COUNT($BU$2:$BU$7)&lt;0.6,"Average",IF((RANK(BU4,$BU$2:$BU$7,0)-1)/COUNT($BU$2:$BU$7)&lt;0.8,"Weak","Poor"))))),"")</f>
        <v>High</v>
      </c>
    </row>
    <row r="5" customFormat="false" ht="15" hidden="false" customHeight="false" outlineLevel="0" collapsed="false">
      <c r="A5" s="5" t="str">
        <f aca="false">'Company Master'!A5</f>
        <v>INE154A01025</v>
      </c>
      <c r="B5" s="5" t="str">
        <f aca="false">'Company Master'!C5</f>
        <v>ITC Ltd</v>
      </c>
      <c r="C5" s="5" t="str">
        <f aca="false">'Company Master'!D5</f>
        <v>FMCG</v>
      </c>
      <c r="D5" s="6" t="n">
        <f aca="false">SUMPRODUCT(('Price History'!$A$2:$A$1561=A5)*('Price History'!$E$2:$E$1561=1)*'Price History'!$C$2:$C$1561)</f>
        <v>2299.15</v>
      </c>
      <c r="E5" s="6" t="n">
        <f aca="false">D5-(SUMPRODUCT(('Price History'!$A$2:$A$1561=A5)*('Price History'!$E$2:$E$1561=2)*'Price History'!$C$2:$C$1561))</f>
        <v>-7.42000000000007</v>
      </c>
      <c r="F5" s="7" t="n">
        <f aca="false">IFERROR(E5/(SUMPRODUCT(('Price History'!$A$2:$A$1561=A5)*('Price History'!$E$2:$E$1561=2)*'Price History'!$C$2:$C$1561)),"")</f>
        <v>-0.00321689781797217</v>
      </c>
      <c r="G5" s="8" t="n">
        <f aca="false">'Company Master'!E5</f>
        <v>540000</v>
      </c>
      <c r="H5" s="9" t="n">
        <f aca="false">IFERROR(D5/(INDEX('Fundamentals Raw'!$A:$AG,BH5,13)),'Company Master'!F5)</f>
        <v>37.0173885042666</v>
      </c>
      <c r="I5" s="7" t="n">
        <f aca="false">IFERROR(L5/M5*100,"")</f>
        <v>123.765930924687</v>
      </c>
      <c r="J5" s="6" t="n">
        <f aca="false">_xlfn.MAXIFS('Price History'!$C$2:$C$1561,'Price History'!$A$2:$A$1561,A5,'Price History'!$E$2:$E$1561,"&lt;=252")</f>
        <v>2489.74</v>
      </c>
      <c r="K5" s="6" t="n">
        <f aca="false">_xlfn.MINIFS('Price History'!$C$2:$C$1561,'Price History'!$A$2:$A$1561,A5,'Price History'!$E$2:$E$1561,"&lt;=252")</f>
        <v>2222.61</v>
      </c>
      <c r="L5" s="8" t="n">
        <f aca="false">SUMPRODUCT(('Price History'!$A$2:$A$1561=A5)*('Price History'!$E$2:$E$1561=1)*'Price History'!$D$2:$D$1561)</f>
        <v>1885670</v>
      </c>
      <c r="M5" s="8" t="n">
        <f aca="false">AVERAGEIFS('Price History'!$D$2:$D$1561,'Price History'!$A$2:$A$1561,A5,'Price History'!$E$2:$E$1561,"&lt;=30")</f>
        <v>1523577.6</v>
      </c>
      <c r="N5" s="6" t="n">
        <f aca="false">IFERROR(AVERAGEIFS('Price History'!$C$2:$C$1561,'Price History'!$A$2:$A$1561,A5,'Price History'!$E$2:$E$1561,"&lt;=3"),"")</f>
        <v>2300.81</v>
      </c>
      <c r="O5" s="6" t="n">
        <f aca="false">IFERROR(AVERAGEIFS('Price History'!$C$2:$C$1561,'Price History'!$A$2:$A$1561,A5,'Price History'!$E$2:$E$1561,"&lt;=8"),"")</f>
        <v>2281.57375</v>
      </c>
      <c r="P5" s="6" t="n">
        <f aca="false">IFERROR(AVERAGEIFS('Price History'!$C$2:$C$1561,'Price History'!$A$2:$A$1561,A5,'Price History'!$E$2:$E$1561,"&lt;=30"),"")</f>
        <v>2266.46733333333</v>
      </c>
      <c r="Q5" s="6" t="n">
        <f aca="false">IFERROR(AVERAGEIFS('Price History'!$C$2:$C$1561,'Price History'!$A$2:$A$1561,A5,'Price History'!$E$2:$E$1561,"&lt;=50"),"")</f>
        <v>2294.4624</v>
      </c>
      <c r="R5" s="6" t="n">
        <f aca="false">IFERROR(AVERAGEIFS('Price History'!$C$2:$C$1561,'Price History'!$A$2:$A$1561,A5,'Price History'!$E$2:$E$1561,"&lt;=100"),"")</f>
        <v>2326.0617</v>
      </c>
      <c r="S5" s="6" t="n">
        <f aca="false">IFERROR(AVERAGEIFS('Price History'!$C$2:$C$1561,'Price History'!$A$2:$A$1561,A5,'Price History'!$E$2:$E$1561,"&lt;=200"),"")</f>
        <v>2378.44535</v>
      </c>
      <c r="T5" s="9" t="n">
        <f aca="false">IFERROR(100-100/(1+(AVERAGEIFS('Price History'!$G$2:$G$1561,'Price History'!$A$2:$A$1561,A5,'Price History'!$E$2:$E$1561,"&lt;=14"))/(AVERAGEIFS('Price History'!$H$2:$H$1561,'Price History'!$A$2:$A$1561,A5,'Price History'!$E$2:$E$1561,"&lt;=14"))),100)</f>
        <v>63.9249919172325</v>
      </c>
      <c r="U5" s="10" t="n">
        <f aca="false">IFERROR(ROUND(1+98*(RANK(BI5,$BI$2:$BI$7,1)-1)/(COUNT($BI$2:$BI$7)-1),0),"")</f>
        <v>1</v>
      </c>
      <c r="V5" s="11" t="b">
        <f aca="false">IF(N5="","",D5&gt;N5)</f>
        <v>0</v>
      </c>
      <c r="W5" s="11" t="b">
        <f aca="false">IF(O5="","",D5&gt;O5)</f>
        <v>1</v>
      </c>
      <c r="X5" s="11" t="b">
        <f aca="false">IF(P5="","",D5&gt;P5)</f>
        <v>1</v>
      </c>
      <c r="Y5" s="11" t="b">
        <f aca="false">IF(Q5="","",D5&gt;Q5)</f>
        <v>1</v>
      </c>
      <c r="Z5" s="11" t="b">
        <f aca="false">IF(R5="","",D5&gt;R5)</f>
        <v>0</v>
      </c>
      <c r="AA5" s="11" t="b">
        <f aca="false">IF(S5="","",D5&gt;S5)</f>
        <v>0</v>
      </c>
      <c r="AB5" s="11" t="b">
        <f aca="false">IF(OR(N5="",O5=""),"",N5&gt;O5)</f>
        <v>1</v>
      </c>
      <c r="AC5" s="11" t="b">
        <f aca="false">IF(OR(O5="",P5=""),"",O5&gt;P5)</f>
        <v>1</v>
      </c>
      <c r="AD5" s="11" t="b">
        <f aca="false">IF(OR(P5="",R5=""),"",P5&gt;R5)</f>
        <v>0</v>
      </c>
      <c r="AE5" s="11" t="b">
        <f aca="false">IF(OR(R5="",S5=""),"",R5&gt;S5)</f>
        <v>0</v>
      </c>
      <c r="AF5" s="5" t="n">
        <f aca="false">IFERROR(AVERAGE(INDEX('Fundamentals Raw'!$A:$AG,BH5,3),INDEX('Fundamentals Raw'!$A:$AG,BH5,4),INDEX('Fundamentals Raw'!$A:$AG,BH5,5)),"")</f>
        <v>18.2933333333333</v>
      </c>
      <c r="AG5" s="9" t="n">
        <f aca="false">IFERROR(INDEX('Fundamentals Raw'!$A:$AG,BH5,5),"")</f>
        <v>18.13</v>
      </c>
      <c r="AH5" s="7" t="n">
        <f aca="false">IFERROR((AG5-AF5)/ABS(AF5)*100,"")</f>
        <v>-0.892857142857147</v>
      </c>
      <c r="AI5" s="5" t="str">
        <f aca="false">IF(AH5="","N/A",IF(ABS(AH5)&lt;3,"Neutral",IF(AH5&gt;0,"Improvement","Deterioration")))</f>
        <v>Neutral</v>
      </c>
      <c r="AJ5" s="5" t="n">
        <f aca="false">IFERROR(AVERAGE(INDEX('Fundamentals Raw'!$A:$AG,BH5,7),INDEX('Fundamentals Raw'!$A:$AG,BH5,8),INDEX('Fundamentals Raw'!$A:$AG,BH5,9)),"")</f>
        <v>16.6233333333333</v>
      </c>
      <c r="AK5" s="9" t="n">
        <f aca="false">IFERROR(INDEX('Fundamentals Raw'!$A:$AG,BH5,9),"")</f>
        <v>16.85</v>
      </c>
      <c r="AL5" s="7" t="n">
        <f aca="false">IFERROR((AK5-AJ5)/ABS(AJ5)*100,"")</f>
        <v>1.36354521756567</v>
      </c>
      <c r="AM5" s="5" t="str">
        <f aca="false">IF(AL5="","N/A",IF(ABS(AL5)&lt;3,"Neutral",IF(AL5&gt;0,"Improvement","Deterioration")))</f>
        <v>Neutral</v>
      </c>
      <c r="AN5" s="5" t="n">
        <f aca="false">IFERROR(AVERAGE(((INDEX('Fundamentals Raw'!$A:$AG,BH5,11)-INDEX('Fundamentals Raw'!$A:$AG,BH5,10))/ABS(INDEX('Fundamentals Raw'!$A:$AG,BH5,10))),((INDEX('Fundamentals Raw'!$A:$AG,BH5,12)-INDEX('Fundamentals Raw'!$A:$AG,BH5,11))/ABS(INDEX('Fundamentals Raw'!$A:$AG,BH5,11))),((INDEX('Fundamentals Raw'!$A:$AG,BH5,13)-INDEX('Fundamentals Raw'!$A:$AG,BH5,12))/ABS(INDEX('Fundamentals Raw'!$A:$AG,BH5,12))))*100,"")</f>
        <v>10.9765114774996</v>
      </c>
      <c r="AO5" s="9" t="n">
        <f aca="false">IFERROR((((INDEX('Fundamentals Raw'!$A:$AG,BH5,13)-INDEX('Fundamentals Raw'!$A:$AG,BH5,12))/ABS(INDEX('Fundamentals Raw'!$A:$AG,BH5,12))))*100,"")</f>
        <v>12.5997099347353</v>
      </c>
      <c r="AP5" s="7" t="n">
        <f aca="false">IFERROR((AO5-AN5)/ABS(AN5)*100,"")</f>
        <v>14.7879265699588</v>
      </c>
      <c r="AQ5" s="5" t="str">
        <f aca="false">IF(AP5="","N/A",IF(ABS(AP5)&lt;3,"Neutral",IF(AP5&gt;0,"Improvement","Deterioration")))</f>
        <v>Improvement</v>
      </c>
      <c r="AR5" s="5" t="n">
        <f aca="false">IFERROR(AVERAGE(((INDEX('Fundamentals Raw'!$A:$AG,BH5,15)-INDEX('Fundamentals Raw'!$A:$AG,BH5,14))/ABS(INDEX('Fundamentals Raw'!$A:$AG,BH5,14))),((INDEX('Fundamentals Raw'!$A:$AG,BH5,16)-INDEX('Fundamentals Raw'!$A:$AG,BH5,15))/ABS(INDEX('Fundamentals Raw'!$A:$AG,BH5,15))),((INDEX('Fundamentals Raw'!$A:$AG,BH5,17)-INDEX('Fundamentals Raw'!$A:$AG,BH5,16))/ABS(INDEX('Fundamentals Raw'!$A:$AG,BH5,16))))*100,"")</f>
        <v>10.2860786149926</v>
      </c>
      <c r="AS5" s="9" t="n">
        <f aca="false">IFERROR((((INDEX('Fundamentals Raw'!$A:$AG,BH5,17)-INDEX('Fundamentals Raw'!$A:$AG,BH5,16))/ABS(INDEX('Fundamentals Raw'!$A:$AG,BH5,16))))*100,"")</f>
        <v>6.55353987719329</v>
      </c>
      <c r="AT5" s="7" t="n">
        <f aca="false">IFERROR((AS5-AR5)/ABS(AR5)*100,"")</f>
        <v>-36.2872857335435</v>
      </c>
      <c r="AU5" s="5" t="str">
        <f aca="false">IF(AT5="","N/A",IF(ABS(AT5)&lt;3,"Neutral",IF(AT5&gt;0,"Improvement","Deterioration")))</f>
        <v>Deterioration</v>
      </c>
      <c r="AV5" s="5" t="n">
        <f aca="false">IFERROR(AVERAGE((INDEX('Fundamentals Raw'!$A:$AG,BH5,19)/INDEX('Fundamentals Raw'!$A:$AG,BH5,23)),(INDEX('Fundamentals Raw'!$A:$AG,BH5,20)/INDEX('Fundamentals Raw'!$A:$AG,BH5,24)),(INDEX('Fundamentals Raw'!$A:$AG,BH5,21)/INDEX('Fundamentals Raw'!$A:$AG,BH5,25))),"")</f>
        <v>0.461089362828205</v>
      </c>
      <c r="AW5" s="9" t="n">
        <f aca="false">IFERROR((INDEX('Fundamentals Raw'!$A:$AG,BH5,21)/INDEX('Fundamentals Raw'!$A:$AG,BH5,25)),"")</f>
        <v>0.41992279575035</v>
      </c>
      <c r="AX5" s="7" t="n">
        <f aca="false">IFERROR((AW5-AV5)/ABS(AV5)*100,"")</f>
        <v>-8.92811033968547</v>
      </c>
      <c r="AY5" s="5" t="str">
        <f aca="false">IF(AX5="","N/A",IF(ABS(AX5)&lt;3,"Neutral",IF(AX5&gt;0,"Deterioration","Improvement")))</f>
        <v>Improvement</v>
      </c>
      <c r="AZ5" s="5" t="n">
        <f aca="false">IFERROR(AVERAGE((INDEX('Fundamentals Raw'!$A:$AG,BH5,15)/INDEX('Fundamentals Raw'!$A:$AG,BH5,27)),(INDEX('Fundamentals Raw'!$A:$AG,BH5,16)/INDEX('Fundamentals Raw'!$A:$AG,BH5,28)),(INDEX('Fundamentals Raw'!$A:$AG,BH5,17)/INDEX('Fundamentals Raw'!$A:$AG,BH5,29))),"")</f>
        <v>1.14251577723065</v>
      </c>
      <c r="BA5" s="9" t="n">
        <f aca="false">IFERROR((INDEX('Fundamentals Raw'!$A:$AG,BH5,17)/INDEX('Fundamentals Raw'!$A:$AG,BH5,29)),"")</f>
        <v>1.05903258337101</v>
      </c>
      <c r="BB5" s="7" t="n">
        <f aca="false">IFERROR((BA5-AZ5)/ABS(AZ5)*100,"")</f>
        <v>-7.30696201517644</v>
      </c>
      <c r="BC5" s="5" t="str">
        <f aca="false">IF(BB5="","N/A",IF(ABS(BB5)&lt;3,"Neutral",IF(BB5&gt;0,"Improvement","Deterioration")))</f>
        <v>Deterioration</v>
      </c>
      <c r="BD5" s="7" t="n">
        <f aca="false">IFERROR((INDEX('Fundamentals Raw'!$A:$AG,BH5,33))/(INDEX('Fundamentals Raw'!$A:$AG,BH5,29))*100,"")</f>
        <v>8.97937893382481</v>
      </c>
      <c r="BE5" s="7" t="n">
        <f aca="false">IFERROR((D5/J5-1)*100,"")</f>
        <v>-7.6550161864291</v>
      </c>
      <c r="BF5" s="7" t="n">
        <f aca="false">IFERROR((D5/K5-1)*100,"")</f>
        <v>3.4436990745115</v>
      </c>
      <c r="BG5" s="12" t="n">
        <f aca="false">IFERROR(D5/K5,"")</f>
        <v>1.03443699074512</v>
      </c>
      <c r="BH5" s="5" t="n">
        <f aca="false">IFERROR(MATCH(A5,'Fundamentals Raw'!$A:$A,0),"")</f>
        <v>5</v>
      </c>
      <c r="BI5" s="5" t="n">
        <f aca="false">IFERROR(0.4*(D5/(SUMPRODUCT(('Price History'!$A$2:$A$1561=A5)*('Price History'!$E$2:$E$1561=64)*'Price History'!$C$2:$C$1561)))+0.2*(D5/(SUMPRODUCT(('Price History'!$A$2:$A$1561=A5)*('Price History'!$E$2:$E$1561=127)*'Price History'!$C$2:$C$1561)))+0.2*(D5/(SUMPRODUCT(('Price History'!$A$2:$A$1561=A5)*('Price History'!$E$2:$E$1561=190)*'Price History'!$C$2:$C$1561)))+0.2*(D5/(SUMPRODUCT(('Price History'!$A$2:$A$1561=A5)*('Price History'!$E$2:$E$1561=253)*'Price History'!$C$2:$C$1561))),"")</f>
        <v>0.971852630541137</v>
      </c>
      <c r="BJ5" s="5" t="str">
        <f aca="false">IFERROR(IF(U5&lt;60,"Red",IF(U5&lt;80,"Amber","Green")),"")</f>
        <v>Red</v>
      </c>
      <c r="BK5" s="7" t="n">
        <f aca="false">IFERROR((S5-(AVERAGEIFS('Price History'!$C$2:$C$1561,'Price History'!$A$2:$A$1561,A5,'Price History'!$E$2:$E$1561,"&gt;=21",'Price History'!$E$2:$E$1561,"&lt;=220")))/ABS(AVERAGEIFS('Price History'!$C$2:$C$1561,'Price History'!$A$2:$A$1561,A5,'Price History'!$E$2:$E$1561,"&gt;=21",'Price History'!$E$2:$E$1561,"&lt;=220"))*100,"")</f>
        <v>-0.75787302106819</v>
      </c>
      <c r="BL5" s="11" t="b">
        <f aca="false">IFERROR(BK5&gt;0,"")</f>
        <v>0</v>
      </c>
      <c r="BM5" s="11" t="b">
        <f aca="false">OR(C5="Banks",C5="Finance (including NBFCs)",C5="Housing Finance",C5="Microfinance Institutions",C5="Financial Institutions",C5="Asset Management Cos.",C5="Capital Markets",C5="Investment Companies",C5="General Insurance",C5="Life Insurance",C5="Other Financial Services")</f>
        <v>0</v>
      </c>
      <c r="BN5" s="5" t="n">
        <f aca="false">IFERROR(ROUND(100*(RANK(AF5,$AF$2:$AF$7,1)-1)/(COUNT($AF$2:$AF$7)-1),1),"")</f>
        <v>100</v>
      </c>
      <c r="BO5" s="5" t="n">
        <f aca="false">IFERROR(ROUND(100*(RANK(AJ5,$AJ$2:$AJ$7,1)-1)/(COUNT($AJ$2:$AJ$7)-1),1),"")</f>
        <v>60</v>
      </c>
      <c r="BP5" s="5" t="n">
        <f aca="false">IFERROR(ROUND(100*(RANK(AN5,$AN$2:$AN$7,1)-1)/(COUNT($AN$2:$AN$7)-1),1),"")</f>
        <v>20</v>
      </c>
      <c r="BQ5" s="5" t="n">
        <f aca="false">IFERROR(ROUND(100*(RANK(AR5,$AR$2:$AR$7,1)-1)/(COUNT($AR$2:$AR$7)-1),1),"")</f>
        <v>80</v>
      </c>
      <c r="BR5" s="5" t="n">
        <f aca="false">IFERROR(ROUND(100*(COUNT($AW$2:$AW$7)-RANK(AW5,$AW$2:$AW$7,1))/(COUNT($AW$2:$AW$7)-1),1),"")</f>
        <v>40</v>
      </c>
      <c r="BS5" s="5" t="n">
        <f aca="false">IFERROR(ROUND(100*(RANK(BA5,$BA$2:$BA$7,1)-1)/(COUNT($BA$2:$BA$7)-1),1),"")</f>
        <v>40</v>
      </c>
      <c r="BT5" s="5" t="n">
        <f aca="false">IFERROR(ROUND(100*(RANK(BD5,$BD$2:$BD$7,1)-1)/(COUNT($BD$2:$BD$7)-1),1),"")</f>
        <v>60</v>
      </c>
      <c r="BU5" s="9" t="n">
        <f aca="false">IFERROR(MAX(0,MIN(100,MIN(IF(BM5,(BN5*0.2+BO5*0.325+BP5*0.325+BQ5*0.15),(BN5*0.2+BO5*0.15+BP5*0.15+BQ5*0.15+BR5*0.2+BS5*0.1+BT5*0.05))-(IF(AND(NOT(BM5),AW5&lt;&gt;"",AW5&gt;2),20,0)),IF(AND(AN5&lt;&gt;"",AN5&lt;0),40,999)))),"")</f>
        <v>59</v>
      </c>
      <c r="BV5" s="5" t="str">
        <f aca="false">IFERROR(IF(BU5="","",IF((RANK(BU5,$BU$2:$BU$7,0)-1)/COUNT($BU$2:$BU$7)&lt;0.2,"High",IF((RANK(BU5,$BU$2:$BU$7,0)-1)/COUNT($BU$2:$BU$7)&lt;0.4,"Good",IF((RANK(BU5,$BU$2:$BU$7,0)-1)/COUNT($BU$2:$BU$7)&lt;0.6,"Average",IF((RANK(BU5,$BU$2:$BU$7,0)-1)/COUNT($BU$2:$BU$7)&lt;0.8,"Weak","Poor"))))),"")</f>
        <v>Good</v>
      </c>
    </row>
    <row r="6" customFormat="false" ht="15" hidden="false" customHeight="false" outlineLevel="0" collapsed="false">
      <c r="A6" s="5" t="str">
        <f aca="false">'Company Master'!A6</f>
        <v>INE075A01022</v>
      </c>
      <c r="B6" s="5" t="str">
        <f aca="false">'Company Master'!C6</f>
        <v>Wipro Ltd</v>
      </c>
      <c r="C6" s="5" t="str">
        <f aca="false">'Company Master'!D6</f>
        <v>IT</v>
      </c>
      <c r="D6" s="6" t="n">
        <f aca="false">SUMPRODUCT(('Price History'!$A$2:$A$1561=A6)*('Price History'!$E$2:$E$1561=1)*'Price History'!$C$2:$C$1561)</f>
        <v>2569.5</v>
      </c>
      <c r="E6" s="6" t="n">
        <f aca="false">D6-(SUMPRODUCT(('Price History'!$A$2:$A$1561=A6)*('Price History'!$E$2:$E$1561=2)*'Price History'!$C$2:$C$1561))</f>
        <v>9.53999999999996</v>
      </c>
      <c r="F6" s="7" t="n">
        <f aca="false">IFERROR(E6/(SUMPRODUCT(('Price History'!$A$2:$A$1561=A6)*('Price History'!$E$2:$E$1561=2)*'Price History'!$C$2:$C$1561)),"")</f>
        <v>0.00372662072844887</v>
      </c>
      <c r="G6" s="8" t="n">
        <f aca="false">'Company Master'!E6</f>
        <v>260000</v>
      </c>
      <c r="H6" s="9" t="n">
        <f aca="false">IFERROR(D6/(INDEX('Fundamentals Raw'!$A:$AG,BH6,13)),'Company Master'!F6)</f>
        <v>42.3241640586394</v>
      </c>
      <c r="I6" s="7" t="n">
        <f aca="false">IFERROR(L6/M6*100,"")</f>
        <v>83.0276575497784</v>
      </c>
      <c r="J6" s="6" t="n">
        <f aca="false">_xlfn.MAXIFS('Price History'!$C$2:$C$1561,'Price History'!$A$2:$A$1561,A6,'Price History'!$E$2:$E$1561,"&lt;=252")</f>
        <v>2582.84</v>
      </c>
      <c r="K6" s="6" t="n">
        <f aca="false">_xlfn.MINIFS('Price History'!$C$2:$C$1561,'Price History'!$A$2:$A$1561,A6,'Price History'!$E$2:$E$1561,"&lt;=252")</f>
        <v>2082.67</v>
      </c>
      <c r="L6" s="8" t="n">
        <f aca="false">SUMPRODUCT(('Price History'!$A$2:$A$1561=A6)*('Price History'!$E$2:$E$1561=1)*'Price History'!$D$2:$D$1561)</f>
        <v>1020333</v>
      </c>
      <c r="M6" s="8" t="n">
        <f aca="false">AVERAGEIFS('Price History'!$D$2:$D$1561,'Price History'!$A$2:$A$1561,A6,'Price History'!$E$2:$E$1561,"&lt;=30")</f>
        <v>1228907.36666667</v>
      </c>
      <c r="N6" s="6" t="n">
        <f aca="false">IFERROR(AVERAGEIFS('Price History'!$C$2:$C$1561,'Price History'!$A$2:$A$1561,A6,'Price History'!$E$2:$E$1561,"&lt;=3"),"")</f>
        <v>2564.89666666667</v>
      </c>
      <c r="O6" s="6" t="n">
        <f aca="false">IFERROR(AVERAGEIFS('Price History'!$C$2:$C$1561,'Price History'!$A$2:$A$1561,A6,'Price History'!$E$2:$E$1561,"&lt;=8"),"")</f>
        <v>2563.2925</v>
      </c>
      <c r="P6" s="6" t="n">
        <f aca="false">IFERROR(AVERAGEIFS('Price History'!$C$2:$C$1561,'Price History'!$A$2:$A$1561,A6,'Price History'!$E$2:$E$1561,"&lt;=30"),"")</f>
        <v>2538.214</v>
      </c>
      <c r="Q6" s="6" t="n">
        <f aca="false">IFERROR(AVERAGEIFS('Price History'!$C$2:$C$1561,'Price History'!$A$2:$A$1561,A6,'Price History'!$E$2:$E$1561,"&lt;=50"),"")</f>
        <v>2496.0658</v>
      </c>
      <c r="R6" s="6" t="n">
        <f aca="false">IFERROR(AVERAGEIFS('Price History'!$C$2:$C$1561,'Price History'!$A$2:$A$1561,A6,'Price History'!$E$2:$E$1561,"&lt;=100"),"")</f>
        <v>2430.5946</v>
      </c>
      <c r="S6" s="6" t="n">
        <f aca="false">IFERROR(AVERAGEIFS('Price History'!$C$2:$C$1561,'Price History'!$A$2:$A$1561,A6,'Price History'!$E$2:$E$1561,"&lt;=200"),"")</f>
        <v>2328.3431</v>
      </c>
      <c r="T6" s="9" t="n">
        <f aca="false">IFERROR(100-100/(1+(AVERAGEIFS('Price History'!$G$2:$G$1561,'Price History'!$A$2:$A$1561,A6,'Price History'!$E$2:$E$1561,"&lt;=14"))/(AVERAGEIFS('Price History'!$H$2:$H$1561,'Price History'!$A$2:$A$1561,A6,'Price History'!$E$2:$E$1561,"&lt;=14"))),100)</f>
        <v>46.7617796132908</v>
      </c>
      <c r="U6" s="10" t="n">
        <f aca="false">IFERROR(ROUND(1+98*(RANK(BI6,$BI$2:$BI$7,1)-1)/(COUNT($BI$2:$BI$7)-1),0),"")</f>
        <v>99</v>
      </c>
      <c r="V6" s="11" t="b">
        <f aca="false">IF(N6="","",D6&gt;N6)</f>
        <v>1</v>
      </c>
      <c r="W6" s="11" t="b">
        <f aca="false">IF(O6="","",D6&gt;O6)</f>
        <v>1</v>
      </c>
      <c r="X6" s="11" t="b">
        <f aca="false">IF(P6="","",D6&gt;P6)</f>
        <v>1</v>
      </c>
      <c r="Y6" s="11" t="b">
        <f aca="false">IF(Q6="","",D6&gt;Q6)</f>
        <v>1</v>
      </c>
      <c r="Z6" s="11" t="b">
        <f aca="false">IF(R6="","",D6&gt;R6)</f>
        <v>1</v>
      </c>
      <c r="AA6" s="11" t="b">
        <f aca="false">IF(S6="","",D6&gt;S6)</f>
        <v>1</v>
      </c>
      <c r="AB6" s="11" t="b">
        <f aca="false">IF(OR(N6="",O6=""),"",N6&gt;O6)</f>
        <v>1</v>
      </c>
      <c r="AC6" s="11" t="b">
        <f aca="false">IF(OR(O6="",P6=""),"",O6&gt;P6)</f>
        <v>1</v>
      </c>
      <c r="AD6" s="11" t="b">
        <f aca="false">IF(OR(P6="",R6=""),"",P6&gt;R6)</f>
        <v>1</v>
      </c>
      <c r="AE6" s="11" t="b">
        <f aca="false">IF(OR(R6="",S6=""),"",R6&gt;S6)</f>
        <v>1</v>
      </c>
      <c r="AF6" s="5" t="n">
        <f aca="false">IFERROR(AVERAGE(INDEX('Fundamentals Raw'!$A:$AG,BH6,3),INDEX('Fundamentals Raw'!$A:$AG,BH6,4),INDEX('Fundamentals Raw'!$A:$AG,BH6,5)),"")</f>
        <v>15.2433333333333</v>
      </c>
      <c r="AG6" s="9" t="n">
        <f aca="false">IFERROR(INDEX('Fundamentals Raw'!$A:$AG,BH6,5),"")</f>
        <v>18.46</v>
      </c>
      <c r="AH6" s="7" t="n">
        <f aca="false">IFERROR((AG6-AF6)/ABS(AF6)*100,"")</f>
        <v>21.1021211458561</v>
      </c>
      <c r="AI6" s="5" t="str">
        <f aca="false">IF(AH6="","N/A",IF(ABS(AH6)&lt;3,"Neutral",IF(AH6&gt;0,"Improvement","Deterioration")))</f>
        <v>Improvement</v>
      </c>
      <c r="AJ6" s="5" t="n">
        <f aca="false">IFERROR(AVERAGE(INDEX('Fundamentals Raw'!$A:$AG,BH6,7),INDEX('Fundamentals Raw'!$A:$AG,BH6,8),INDEX('Fundamentals Raw'!$A:$AG,BH6,9)),"")</f>
        <v>15.99</v>
      </c>
      <c r="AK6" s="9" t="n">
        <f aca="false">IFERROR(INDEX('Fundamentals Raw'!$A:$AG,BH6,9),"")</f>
        <v>14.58</v>
      </c>
      <c r="AL6" s="7" t="n">
        <f aca="false">IFERROR((AK6-AJ6)/ABS(AJ6)*100,"")</f>
        <v>-8.81801125703565</v>
      </c>
      <c r="AM6" s="5" t="str">
        <f aca="false">IF(AL6="","N/A",IF(ABS(AL6)&lt;3,"Neutral",IF(AL6&gt;0,"Improvement","Deterioration")))</f>
        <v>Deterioration</v>
      </c>
      <c r="AN6" s="5" t="n">
        <f aca="false">IFERROR(AVERAGE(((INDEX('Fundamentals Raw'!$A:$AG,BH6,11)-INDEX('Fundamentals Raw'!$A:$AG,BH6,10))/ABS(INDEX('Fundamentals Raw'!$A:$AG,BH6,10))),((INDEX('Fundamentals Raw'!$A:$AG,BH6,12)-INDEX('Fundamentals Raw'!$A:$AG,BH6,11))/ABS(INDEX('Fundamentals Raw'!$A:$AG,BH6,11))),((INDEX('Fundamentals Raw'!$A:$AG,BH6,13)-INDEX('Fundamentals Raw'!$A:$AG,BH6,12))/ABS(INDEX('Fundamentals Raw'!$A:$AG,BH6,12))))*100,"")</f>
        <v>11.2294053185236</v>
      </c>
      <c r="AO6" s="9" t="n">
        <f aca="false">IFERROR((((INDEX('Fundamentals Raw'!$A:$AG,BH6,13)-INDEX('Fundamentals Raw'!$A:$AG,BH6,12))/ABS(INDEX('Fundamentals Raw'!$A:$AG,BH6,12))))*100,"")</f>
        <v>12.8438661710037</v>
      </c>
      <c r="AP6" s="7" t="n">
        <f aca="false">IFERROR((AO6-AN6)/ABS(AN6)*100,"")</f>
        <v>14.3770823715565</v>
      </c>
      <c r="AQ6" s="5" t="str">
        <f aca="false">IF(AP6="","N/A",IF(ABS(AP6)&lt;3,"Neutral",IF(AP6&gt;0,"Improvement","Deterioration")))</f>
        <v>Improvement</v>
      </c>
      <c r="AR6" s="5" t="n">
        <f aca="false">IFERROR(AVERAGE(((INDEX('Fundamentals Raw'!$A:$AG,BH6,15)-INDEX('Fundamentals Raw'!$A:$AG,BH6,14))/ABS(INDEX('Fundamentals Raw'!$A:$AG,BH6,14))),((INDEX('Fundamentals Raw'!$A:$AG,BH6,16)-INDEX('Fundamentals Raw'!$A:$AG,BH6,15))/ABS(INDEX('Fundamentals Raw'!$A:$AG,BH6,15))),((INDEX('Fundamentals Raw'!$A:$AG,BH6,17)-INDEX('Fundamentals Raw'!$A:$AG,BH6,16))/ABS(INDEX('Fundamentals Raw'!$A:$AG,BH6,16))))*100,"")</f>
        <v>9.99755250006669</v>
      </c>
      <c r="AS6" s="9" t="n">
        <f aca="false">IFERROR((((INDEX('Fundamentals Raw'!$A:$AG,BH6,17)-INDEX('Fundamentals Raw'!$A:$AG,BH6,16))/ABS(INDEX('Fundamentals Raw'!$A:$AG,BH6,16))))*100,"")</f>
        <v>9.78157135246389</v>
      </c>
      <c r="AT6" s="7" t="n">
        <f aca="false">IFERROR((AS6-AR6)/ABS(AR6)*100,"")</f>
        <v>-2.16034021928234</v>
      </c>
      <c r="AU6" s="5" t="str">
        <f aca="false">IF(AT6="","N/A",IF(ABS(AT6)&lt;3,"Neutral",IF(AT6&gt;0,"Improvement","Deterioration")))</f>
        <v>Neutral</v>
      </c>
      <c r="AV6" s="5" t="n">
        <f aca="false">IFERROR(AVERAGE((INDEX('Fundamentals Raw'!$A:$AG,BH6,19)/INDEX('Fundamentals Raw'!$A:$AG,BH6,23)),(INDEX('Fundamentals Raw'!$A:$AG,BH6,20)/INDEX('Fundamentals Raw'!$A:$AG,BH6,24)),(INDEX('Fundamentals Raw'!$A:$AG,BH6,21)/INDEX('Fundamentals Raw'!$A:$AG,BH6,25))),"")</f>
        <v>0.315402073274106</v>
      </c>
      <c r="AW6" s="9" t="n">
        <f aca="false">IFERROR((INDEX('Fundamentals Raw'!$A:$AG,BH6,21)/INDEX('Fundamentals Raw'!$A:$AG,BH6,25)),"")</f>
        <v>0.372422592949545</v>
      </c>
      <c r="AX6" s="7" t="n">
        <f aca="false">IFERROR((AW6-AV6)/ABS(AV6)*100,"")</f>
        <v>18.0786762380867</v>
      </c>
      <c r="AY6" s="5" t="str">
        <f aca="false">IF(AX6="","N/A",IF(ABS(AX6)&lt;3,"Neutral",IF(AX6&gt;0,"Deterioration","Improvement")))</f>
        <v>Deterioration</v>
      </c>
      <c r="AZ6" s="5" t="n">
        <f aca="false">IFERROR(AVERAGE((INDEX('Fundamentals Raw'!$A:$AG,BH6,15)/INDEX('Fundamentals Raw'!$A:$AG,BH6,27)),(INDEX('Fundamentals Raw'!$A:$AG,BH6,16)/INDEX('Fundamentals Raw'!$A:$AG,BH6,28)),(INDEX('Fundamentals Raw'!$A:$AG,BH6,17)/INDEX('Fundamentals Raw'!$A:$AG,BH6,29))),"")</f>
        <v>1.02537543834422</v>
      </c>
      <c r="BA6" s="9" t="n">
        <f aca="false">IFERROR((INDEX('Fundamentals Raw'!$A:$AG,BH6,17)/INDEX('Fundamentals Raw'!$A:$AG,BH6,29)),"")</f>
        <v>1.15414526040093</v>
      </c>
      <c r="BB6" s="7" t="n">
        <f aca="false">IFERROR((BA6-AZ6)/ABS(AZ6)*100,"")</f>
        <v>12.558309594839</v>
      </c>
      <c r="BC6" s="5" t="str">
        <f aca="false">IF(BB6="","N/A",IF(ABS(BB6)&lt;3,"Neutral",IF(BB6&gt;0,"Improvement","Deterioration")))</f>
        <v>Improvement</v>
      </c>
      <c r="BD6" s="7" t="n">
        <f aca="false">IFERROR((INDEX('Fundamentals Raw'!$A:$AG,BH6,33))/(INDEX('Fundamentals Raw'!$A:$AG,BH6,29))*100,"")</f>
        <v>5.73627480608442</v>
      </c>
      <c r="BE6" s="7" t="n">
        <f aca="false">IFERROR((D6/J6-1)*100,"")</f>
        <v>-0.516485728887584</v>
      </c>
      <c r="BF6" s="7" t="n">
        <f aca="false">IFERROR((D6/K6-1)*100,"")</f>
        <v>23.3752826900085</v>
      </c>
      <c r="BG6" s="12" t="n">
        <f aca="false">IFERROR(D6/K6,"")</f>
        <v>1.23375282690009</v>
      </c>
      <c r="BH6" s="5" t="n">
        <f aca="false">IFERROR(MATCH(A6,'Fundamentals Raw'!$A:$A,0),"")</f>
        <v>6</v>
      </c>
      <c r="BI6" s="5" t="n">
        <f aca="false">IFERROR(0.4*(D6/(SUMPRODUCT(('Price History'!$A$2:$A$1561=A6)*('Price History'!$E$2:$E$1561=64)*'Price History'!$C$2:$C$1561)))+0.2*(D6/(SUMPRODUCT(('Price History'!$A$2:$A$1561=A6)*('Price History'!$E$2:$E$1561=127)*'Price History'!$C$2:$C$1561)))+0.2*(D6/(SUMPRODUCT(('Price History'!$A$2:$A$1561=A6)*('Price History'!$E$2:$E$1561=190)*'Price History'!$C$2:$C$1561)))+0.2*(D6/(SUMPRODUCT(('Price History'!$A$2:$A$1561=A6)*('Price History'!$E$2:$E$1561=253)*'Price History'!$C$2:$C$1561))),"")</f>
        <v>1.14272593002455</v>
      </c>
      <c r="BJ6" s="5" t="str">
        <f aca="false">IFERROR(IF(U6&lt;60,"Red",IF(U6&lt;80,"Amber","Green")),"")</f>
        <v>Green</v>
      </c>
      <c r="BK6" s="7" t="n">
        <f aca="false">IFERROR((S6-(AVERAGEIFS('Price History'!$C$2:$C$1561,'Price History'!$A$2:$A$1561,A6,'Price History'!$E$2:$E$1561,"&gt;=21",'Price History'!$E$2:$E$1561,"&lt;=220")))/ABS(AVERAGEIFS('Price History'!$C$2:$C$1561,'Price History'!$A$2:$A$1561,A6,'Price History'!$E$2:$E$1561,"&gt;=21",'Price History'!$E$2:$E$1561,"&lt;=220"))*100,"")</f>
        <v>1.88664020352796</v>
      </c>
      <c r="BL6" s="11" t="b">
        <f aca="false">IFERROR(BK6&gt;0,"")</f>
        <v>1</v>
      </c>
      <c r="BM6" s="11" t="b">
        <f aca="false">OR(C6="Banks",C6="Finance (including NBFCs)",C6="Housing Finance",C6="Microfinance Institutions",C6="Financial Institutions",C6="Asset Management Cos.",C6="Capital Markets",C6="Investment Companies",C6="General Insurance",C6="Life Insurance",C6="Other Financial Services")</f>
        <v>0</v>
      </c>
      <c r="BN6" s="5" t="n">
        <f aca="false">IFERROR(ROUND(100*(RANK(AF6,$AF$2:$AF$7,1)-1)/(COUNT($AF$2:$AF$7)-1),1),"")</f>
        <v>0</v>
      </c>
      <c r="BO6" s="5" t="n">
        <f aca="false">IFERROR(ROUND(100*(RANK(AJ6,$AJ$2:$AJ$7,1)-1)/(COUNT($AJ$2:$AJ$7)-1),1),"")</f>
        <v>0</v>
      </c>
      <c r="BP6" s="5" t="n">
        <f aca="false">IFERROR(ROUND(100*(RANK(AN6,$AN$2:$AN$7,1)-1)/(COUNT($AN$2:$AN$7)-1),1),"")</f>
        <v>40</v>
      </c>
      <c r="BQ6" s="5" t="n">
        <f aca="false">IFERROR(ROUND(100*(RANK(AR6,$AR$2:$AR$7,1)-1)/(COUNT($AR$2:$AR$7)-1),1),"")</f>
        <v>40</v>
      </c>
      <c r="BR6" s="5" t="n">
        <f aca="false">IFERROR(ROUND(100*(COUNT($AW$2:$AW$7)-RANK(AW6,$AW$2:$AW$7,1))/(COUNT($AW$2:$AW$7)-1),1),"")</f>
        <v>60</v>
      </c>
      <c r="BS6" s="5" t="n">
        <f aca="false">IFERROR(ROUND(100*(RANK(BA6,$BA$2:$BA$7,1)-1)/(COUNT($BA$2:$BA$7)-1),1),"")</f>
        <v>80</v>
      </c>
      <c r="BT6" s="5" t="n">
        <f aca="false">IFERROR(ROUND(100*(RANK(BD6,$BD$2:$BD$7,1)-1)/(COUNT($BD$2:$BD$7)-1),1),"")</f>
        <v>20</v>
      </c>
      <c r="BU6" s="9" t="n">
        <f aca="false">IFERROR(MAX(0,MIN(100,MIN(IF(BM6,(BN6*0.2+BO6*0.325+BP6*0.325+BQ6*0.15),(BN6*0.2+BO6*0.15+BP6*0.15+BQ6*0.15+BR6*0.2+BS6*0.1+BT6*0.05))-(IF(AND(NOT(BM6),AW6&lt;&gt;"",AW6&gt;2),20,0)),IF(AND(AN6&lt;&gt;"",AN6&lt;0),40,999)))),"")</f>
        <v>33</v>
      </c>
      <c r="BV6" s="5" t="str">
        <f aca="false">IFERROR(IF(BU6="","",IF((RANK(BU6,$BU$2:$BU$7,0)-1)/COUNT($BU$2:$BU$7)&lt;0.2,"High",IF((RANK(BU6,$BU$2:$BU$7,0)-1)/COUNT($BU$2:$BU$7)&lt;0.4,"Good",IF((RANK(BU6,$BU$2:$BU$7,0)-1)/COUNT($BU$2:$BU$7)&lt;0.6,"Average",IF((RANK(BU6,$BU$2:$BU$7,0)-1)/COUNT($BU$2:$BU$7)&lt;0.8,"Weak","Poor"))))),"")</f>
        <v>Poor</v>
      </c>
    </row>
    <row r="7" customFormat="false" ht="15" hidden="false" customHeight="false" outlineLevel="0" collapsed="false">
      <c r="A7" s="5" t="str">
        <f aca="false">'Company Master'!A7</f>
        <v>INE752E01010</v>
      </c>
      <c r="B7" s="5" t="str">
        <f aca="false">'Company Master'!C7</f>
        <v>Power Grid Corp</v>
      </c>
      <c r="C7" s="5" t="str">
        <f aca="false">'Company Master'!D7</f>
        <v>Utilities</v>
      </c>
      <c r="D7" s="6" t="n">
        <f aca="false">SUMPRODUCT(('Price History'!$A$2:$A$1561=A7)*('Price History'!$E$2:$E$1561=1)*'Price History'!$C$2:$C$1561)</f>
        <v>1714.81</v>
      </c>
      <c r="E7" s="6" t="n">
        <f aca="false">D7-(SUMPRODUCT(('Price History'!$A$2:$A$1561=A7)*('Price History'!$E$2:$E$1561=2)*'Price History'!$C$2:$C$1561))</f>
        <v>4.81999999999994</v>
      </c>
      <c r="F7" s="7" t="n">
        <f aca="false">IFERROR(E7/(SUMPRODUCT(('Price History'!$A$2:$A$1561=A7)*('Price History'!$E$2:$E$1561=2)*'Price History'!$C$2:$C$1561)),"")</f>
        <v>0.00281872993409314</v>
      </c>
      <c r="G7" s="8" t="n">
        <f aca="false">'Company Master'!E7</f>
        <v>300000</v>
      </c>
      <c r="H7" s="9" t="n">
        <f aca="false">IFERROR(D7/(INDEX('Fundamentals Raw'!$A:$AG,BH7,13)),'Company Master'!F7)</f>
        <v>26.2927016252683</v>
      </c>
      <c r="I7" s="7" t="n">
        <f aca="false">IFERROR(L7/M7*100,"")</f>
        <v>62.5926125300667</v>
      </c>
      <c r="J7" s="6" t="n">
        <f aca="false">_xlfn.MAXIFS('Price History'!$C$2:$C$1561,'Price History'!$A$2:$A$1561,A7,'Price History'!$E$2:$E$1561,"&lt;=252")</f>
        <v>1795.73</v>
      </c>
      <c r="K7" s="6" t="n">
        <f aca="false">_xlfn.MINIFS('Price History'!$C$2:$C$1561,'Price History'!$A$2:$A$1561,A7,'Price History'!$E$2:$E$1561,"&lt;=252")</f>
        <v>1489.3</v>
      </c>
      <c r="L7" s="8" t="n">
        <f aca="false">SUMPRODUCT(('Price History'!$A$2:$A$1561=A7)*('Price History'!$E$2:$E$1561=1)*'Price History'!$D$2:$D$1561)</f>
        <v>997646</v>
      </c>
      <c r="M7" s="8" t="n">
        <f aca="false">AVERAGEIFS('Price History'!$D$2:$D$1561,'Price History'!$A$2:$A$1561,A7,'Price History'!$E$2:$E$1561,"&lt;=30")</f>
        <v>1593871.8</v>
      </c>
      <c r="N7" s="6" t="n">
        <f aca="false">IFERROR(AVERAGEIFS('Price History'!$C$2:$C$1561,'Price History'!$A$2:$A$1561,A7,'Price History'!$E$2:$E$1561,"&lt;=3"),"")</f>
        <v>1714.48</v>
      </c>
      <c r="O7" s="6" t="n">
        <f aca="false">IFERROR(AVERAGEIFS('Price History'!$C$2:$C$1561,'Price History'!$A$2:$A$1561,A7,'Price History'!$E$2:$E$1561,"&lt;=8"),"")</f>
        <v>1722.0475</v>
      </c>
      <c r="P7" s="6" t="n">
        <f aca="false">IFERROR(AVERAGEIFS('Price History'!$C$2:$C$1561,'Price History'!$A$2:$A$1561,A7,'Price History'!$E$2:$E$1561,"&lt;=30"),"")</f>
        <v>1738.92033333333</v>
      </c>
      <c r="Q7" s="6" t="n">
        <f aca="false">IFERROR(AVERAGEIFS('Price History'!$C$2:$C$1561,'Price History'!$A$2:$A$1561,A7,'Price History'!$E$2:$E$1561,"&lt;=50"),"")</f>
        <v>1746.2948</v>
      </c>
      <c r="R7" s="6" t="n">
        <f aca="false">IFERROR(AVERAGEIFS('Price History'!$C$2:$C$1561,'Price History'!$A$2:$A$1561,A7,'Price History'!$E$2:$E$1561,"&lt;=100"),"")</f>
        <v>1728.5496</v>
      </c>
      <c r="S7" s="6" t="n">
        <f aca="false">IFERROR(AVERAGEIFS('Price History'!$C$2:$C$1561,'Price History'!$A$2:$A$1561,A7,'Price History'!$E$2:$E$1561,"&lt;=200"),"")</f>
        <v>1670.47505</v>
      </c>
      <c r="T7" s="9" t="n">
        <f aca="false">IFERROR(100-100/(1+(AVERAGEIFS('Price History'!$G$2:$G$1561,'Price History'!$A$2:$A$1561,A7,'Price History'!$E$2:$E$1561,"&lt;=14"))/(AVERAGEIFS('Price History'!$H$2:$H$1561,'Price History'!$A$2:$A$1561,A7,'Price History'!$E$2:$E$1561,"&lt;=14"))),100)</f>
        <v>44.3473193473193</v>
      </c>
      <c r="U7" s="10" t="n">
        <f aca="false">IFERROR(ROUND(1+98*(RANK(BI7,$BI$2:$BI$7,1)-1)/(COUNT($BI$2:$BI$7)-1),0),"")</f>
        <v>21</v>
      </c>
      <c r="V7" s="11" t="b">
        <f aca="false">IF(N7="","",D7&gt;N7)</f>
        <v>1</v>
      </c>
      <c r="W7" s="11" t="b">
        <f aca="false">IF(O7="","",D7&gt;O7)</f>
        <v>0</v>
      </c>
      <c r="X7" s="11" t="b">
        <f aca="false">IF(P7="","",D7&gt;P7)</f>
        <v>0</v>
      </c>
      <c r="Y7" s="11" t="b">
        <f aca="false">IF(Q7="","",D7&gt;Q7)</f>
        <v>0</v>
      </c>
      <c r="Z7" s="11" t="b">
        <f aca="false">IF(R7="","",D7&gt;R7)</f>
        <v>0</v>
      </c>
      <c r="AA7" s="11" t="b">
        <f aca="false">IF(S7="","",D7&gt;S7)</f>
        <v>1</v>
      </c>
      <c r="AB7" s="11" t="b">
        <f aca="false">IF(OR(N7="",O7=""),"",N7&gt;O7)</f>
        <v>0</v>
      </c>
      <c r="AC7" s="11" t="b">
        <f aca="false">IF(OR(O7="",P7=""),"",O7&gt;P7)</f>
        <v>0</v>
      </c>
      <c r="AD7" s="11" t="b">
        <f aca="false">IF(OR(P7="",R7=""),"",P7&gt;R7)</f>
        <v>1</v>
      </c>
      <c r="AE7" s="11" t="b">
        <f aca="false">IF(OR(R7="",S7=""),"",R7&gt;S7)</f>
        <v>1</v>
      </c>
      <c r="AF7" s="5" t="n">
        <f aca="false">IFERROR(AVERAGE(INDEX('Fundamentals Raw'!$A:$AG,BH7,3),INDEX('Fundamentals Raw'!$A:$AG,BH7,4),INDEX('Fundamentals Raw'!$A:$AG,BH7,5)),"")</f>
        <v>15.8433333333333</v>
      </c>
      <c r="AG7" s="9" t="n">
        <f aca="false">IFERROR(INDEX('Fundamentals Raw'!$A:$AG,BH7,5),"")</f>
        <v>14.12</v>
      </c>
      <c r="AH7" s="7" t="n">
        <f aca="false">IFERROR((AG7-AF7)/ABS(AF7)*100,"")</f>
        <v>-10.8773406269724</v>
      </c>
      <c r="AI7" s="5" t="str">
        <f aca="false">IF(AH7="","N/A",IF(ABS(AH7)&lt;3,"Neutral",IF(AH7&gt;0,"Improvement","Deterioration")))</f>
        <v>Deterioration</v>
      </c>
      <c r="AJ7" s="5" t="n">
        <f aca="false">IFERROR(AVERAGE(INDEX('Fundamentals Raw'!$A:$AG,BH7,7),INDEX('Fundamentals Raw'!$A:$AG,BH7,8),INDEX('Fundamentals Raw'!$A:$AG,BH7,9)),"")</f>
        <v>16.13</v>
      </c>
      <c r="AK7" s="9" t="n">
        <f aca="false">IFERROR(INDEX('Fundamentals Raw'!$A:$AG,BH7,9),"")</f>
        <v>16.73</v>
      </c>
      <c r="AL7" s="7" t="n">
        <f aca="false">IFERROR((AK7-AJ7)/ABS(AJ7)*100,"")</f>
        <v>3.71977681339121</v>
      </c>
      <c r="AM7" s="5" t="str">
        <f aca="false">IF(AL7="","N/A",IF(ABS(AL7)&lt;3,"Neutral",IF(AL7&gt;0,"Improvement","Deterioration")))</f>
        <v>Improvement</v>
      </c>
      <c r="AN7" s="5" t="n">
        <f aca="false">IFERROR(AVERAGE(((INDEX('Fundamentals Raw'!$A:$AG,BH7,11)-INDEX('Fundamentals Raw'!$A:$AG,BH7,10))/ABS(INDEX('Fundamentals Raw'!$A:$AG,BH7,10))),((INDEX('Fundamentals Raw'!$A:$AG,BH7,12)-INDEX('Fundamentals Raw'!$A:$AG,BH7,11))/ABS(INDEX('Fundamentals Raw'!$A:$AG,BH7,11))),((INDEX('Fundamentals Raw'!$A:$AG,BH7,13)-INDEX('Fundamentals Raw'!$A:$AG,BH7,12))/ABS(INDEX('Fundamentals Raw'!$A:$AG,BH7,12))))*100,"")</f>
        <v>12.439756182013</v>
      </c>
      <c r="AO7" s="9" t="n">
        <f aca="false">IFERROR((((INDEX('Fundamentals Raw'!$A:$AG,BH7,13)-INDEX('Fundamentals Raw'!$A:$AG,BH7,12))/ABS(INDEX('Fundamentals Raw'!$A:$AG,BH7,12))))*100,"")</f>
        <v>14.8441627047015</v>
      </c>
      <c r="AP7" s="7" t="n">
        <f aca="false">IFERROR((AO7-AN7)/ABS(AN7)*100,"")</f>
        <v>19.3284055371211</v>
      </c>
      <c r="AQ7" s="5" t="str">
        <f aca="false">IF(AP7="","N/A",IF(ABS(AP7)&lt;3,"Neutral",IF(AP7&gt;0,"Improvement","Deterioration")))</f>
        <v>Improvement</v>
      </c>
      <c r="AR7" s="5" t="n">
        <f aca="false">IFERROR(AVERAGE(((INDEX('Fundamentals Raw'!$A:$AG,BH7,15)-INDEX('Fundamentals Raw'!$A:$AG,BH7,14))/ABS(INDEX('Fundamentals Raw'!$A:$AG,BH7,14))),((INDEX('Fundamentals Raw'!$A:$AG,BH7,16)-INDEX('Fundamentals Raw'!$A:$AG,BH7,15))/ABS(INDEX('Fundamentals Raw'!$A:$AG,BH7,15))),((INDEX('Fundamentals Raw'!$A:$AG,BH7,17)-INDEX('Fundamentals Raw'!$A:$AG,BH7,16))/ABS(INDEX('Fundamentals Raw'!$A:$AG,BH7,16))))*100,"")</f>
        <v>10.3649908142776</v>
      </c>
      <c r="AS7" s="9" t="n">
        <f aca="false">IFERROR((((INDEX('Fundamentals Raw'!$A:$AG,BH7,17)-INDEX('Fundamentals Raw'!$A:$AG,BH7,16))/ABS(INDEX('Fundamentals Raw'!$A:$AG,BH7,16))))*100,"")</f>
        <v>9.03177638168078</v>
      </c>
      <c r="AT7" s="7" t="n">
        <f aca="false">IFERROR((AS7-AR7)/ABS(AR7)*100,"")</f>
        <v>-12.8626687325217</v>
      </c>
      <c r="AU7" s="5" t="str">
        <f aca="false">IF(AT7="","N/A",IF(ABS(AT7)&lt;3,"Neutral",IF(AT7&gt;0,"Improvement","Deterioration")))</f>
        <v>Deterioration</v>
      </c>
      <c r="AV7" s="5" t="n">
        <f aca="false">IFERROR(AVERAGE((INDEX('Fundamentals Raw'!$A:$AG,BH7,19)/INDEX('Fundamentals Raw'!$A:$AG,BH7,23)),(INDEX('Fundamentals Raw'!$A:$AG,BH7,20)/INDEX('Fundamentals Raw'!$A:$AG,BH7,24)),(INDEX('Fundamentals Raw'!$A:$AG,BH7,21)/INDEX('Fundamentals Raw'!$A:$AG,BH7,25))),"")</f>
        <v>0.436001012254918</v>
      </c>
      <c r="AW7" s="9" t="n">
        <f aca="false">IFERROR((INDEX('Fundamentals Raw'!$A:$AG,BH7,21)/INDEX('Fundamentals Raw'!$A:$AG,BH7,25)),"")</f>
        <v>0.36920278067339</v>
      </c>
      <c r="AX7" s="7" t="n">
        <f aca="false">IFERROR((AW7-AV7)/ABS(AV7)*100,"")</f>
        <v>-15.3206597471091</v>
      </c>
      <c r="AY7" s="5" t="str">
        <f aca="false">IF(AX7="","N/A",IF(ABS(AX7)&lt;3,"Neutral",IF(AX7&gt;0,"Deterioration","Improvement")))</f>
        <v>Improvement</v>
      </c>
      <c r="AZ7" s="5" t="n">
        <f aca="false">IFERROR(AVERAGE((INDEX('Fundamentals Raw'!$A:$AG,BH7,15)/INDEX('Fundamentals Raw'!$A:$AG,BH7,27)),(INDEX('Fundamentals Raw'!$A:$AG,BH7,16)/INDEX('Fundamentals Raw'!$A:$AG,BH7,28)),(INDEX('Fundamentals Raw'!$A:$AG,BH7,17)/INDEX('Fundamentals Raw'!$A:$AG,BH7,29))),"")</f>
        <v>1.24427919629678</v>
      </c>
      <c r="BA7" s="9" t="n">
        <f aca="false">IFERROR((INDEX('Fundamentals Raw'!$A:$AG,BH7,17)/INDEX('Fundamentals Raw'!$A:$AG,BH7,29)),"")</f>
        <v>1.47439288053623</v>
      </c>
      <c r="BB7" s="7" t="n">
        <f aca="false">IFERROR((BA7-AZ7)/ABS(AZ7)*100,"")</f>
        <v>18.493733956519</v>
      </c>
      <c r="BC7" s="5" t="str">
        <f aca="false">IF(BB7="","N/A",IF(ABS(BB7)&lt;3,"Neutral",IF(BB7&gt;0,"Improvement","Deterioration")))</f>
        <v>Improvement</v>
      </c>
      <c r="BD7" s="7" t="n">
        <f aca="false">IFERROR((INDEX('Fundamentals Raw'!$A:$AG,BH7,33))/(INDEX('Fundamentals Raw'!$A:$AG,BH7,29))*100,"")</f>
        <v>9.96360484415092</v>
      </c>
      <c r="BE7" s="7" t="n">
        <f aca="false">IFERROR((D7/J7-1)*100,"")</f>
        <v>-4.50624537096335</v>
      </c>
      <c r="BF7" s="7" t="n">
        <f aca="false">IFERROR((D7/K7-1)*100,"")</f>
        <v>15.142013026254</v>
      </c>
      <c r="BG7" s="12" t="n">
        <f aca="false">IFERROR(D7/K7,"")</f>
        <v>1.15142013026254</v>
      </c>
      <c r="BH7" s="5" t="n">
        <f aca="false">IFERROR(MATCH(A7,'Fundamentals Raw'!$A:$A,0),"")</f>
        <v>7</v>
      </c>
      <c r="BI7" s="5" t="n">
        <f aca="false">IFERROR(0.4*(D7/(SUMPRODUCT(('Price History'!$A$2:$A$1561=A7)*('Price History'!$E$2:$E$1561=64)*'Price History'!$C$2:$C$1561)))+0.2*(D7/(SUMPRODUCT(('Price History'!$A$2:$A$1561=A7)*('Price History'!$E$2:$E$1561=127)*'Price History'!$C$2:$C$1561)))+0.2*(D7/(SUMPRODUCT(('Price History'!$A$2:$A$1561=A7)*('Price History'!$E$2:$E$1561=190)*'Price History'!$C$2:$C$1561)))+0.2*(D7/(SUMPRODUCT(('Price History'!$A$2:$A$1561=A7)*('Price History'!$E$2:$E$1561=253)*'Price History'!$C$2:$C$1561))),"")</f>
        <v>1.05096673978401</v>
      </c>
      <c r="BJ7" s="5" t="str">
        <f aca="false">IFERROR(IF(U7&lt;60,"Red",IF(U7&lt;80,"Amber","Green")),"")</f>
        <v>Red</v>
      </c>
      <c r="BK7" s="7" t="n">
        <f aca="false">IFERROR((S7-(AVERAGEIFS('Price History'!$C$2:$C$1561,'Price History'!$A$2:$A$1561,A7,'Price History'!$E$2:$E$1561,"&gt;=21",'Price History'!$E$2:$E$1561,"&lt;=220")))/ABS(AVERAGEIFS('Price History'!$C$2:$C$1561,'Price History'!$A$2:$A$1561,A7,'Price History'!$E$2:$E$1561,"&gt;=21",'Price History'!$E$2:$E$1561,"&lt;=220"))*100,"")</f>
        <v>1.02273973891778</v>
      </c>
      <c r="BL7" s="11" t="b">
        <f aca="false">IFERROR(BK7&gt;0,"")</f>
        <v>1</v>
      </c>
      <c r="BM7" s="11" t="b">
        <f aca="false">OR(C7="Banks",C7="Finance (including NBFCs)",C7="Housing Finance",C7="Microfinance Institutions",C7="Financial Institutions",C7="Asset Management Cos.",C7="Capital Markets",C7="Investment Companies",C7="General Insurance",C7="Life Insurance",C7="Other Financial Services")</f>
        <v>0</v>
      </c>
      <c r="BN7" s="5" t="n">
        <f aca="false">IFERROR(ROUND(100*(RANK(AF7,$AF$2:$AF$7,1)-1)/(COUNT($AF$2:$AF$7)-1),1),"")</f>
        <v>20</v>
      </c>
      <c r="BO7" s="5" t="n">
        <f aca="false">IFERROR(ROUND(100*(RANK(AJ7,$AJ$2:$AJ$7,1)-1)/(COUNT($AJ$2:$AJ$7)-1),1),"")</f>
        <v>20</v>
      </c>
      <c r="BP7" s="5" t="n">
        <f aca="false">IFERROR(ROUND(100*(RANK(AN7,$AN$2:$AN$7,1)-1)/(COUNT($AN$2:$AN$7)-1),1),"")</f>
        <v>80</v>
      </c>
      <c r="BQ7" s="5" t="n">
        <f aca="false">IFERROR(ROUND(100*(RANK(AR7,$AR$2:$AR$7,1)-1)/(COUNT($AR$2:$AR$7)-1),1),"")</f>
        <v>100</v>
      </c>
      <c r="BR7" s="5" t="n">
        <f aca="false">IFERROR(ROUND(100*(COUNT($AW$2:$AW$7)-RANK(AW7,$AW$2:$AW$7,1))/(COUNT($AW$2:$AW$7)-1),1),"")</f>
        <v>80</v>
      </c>
      <c r="BS7" s="5" t="n">
        <f aca="false">IFERROR(ROUND(100*(RANK(BA7,$BA$2:$BA$7,1)-1)/(COUNT($BA$2:$BA$7)-1),1),"")</f>
        <v>100</v>
      </c>
      <c r="BT7" s="5" t="n">
        <f aca="false">IFERROR(ROUND(100*(RANK(BD7,$BD$2:$BD$7,1)-1)/(COUNT($BD$2:$BD$7)-1),1),"")</f>
        <v>100</v>
      </c>
      <c r="BU7" s="9" t="n">
        <f aca="false">IFERROR(MAX(0,MIN(100,MIN(IF(BM7,(BN7*0.2+BO7*0.325+BP7*0.325+BQ7*0.15),(BN7*0.2+BO7*0.15+BP7*0.15+BQ7*0.15+BR7*0.2+BS7*0.1+BT7*0.05))-(IF(AND(NOT(BM7),AW7&lt;&gt;"",AW7&gt;2),20,0)),IF(AND(AN7&lt;&gt;"",AN7&lt;0),40,999)))),"")</f>
        <v>65</v>
      </c>
      <c r="BV7" s="5" t="str">
        <f aca="false">IFERROR(IF(BU7="","",IF((RANK(BU7,$BU$2:$BU$7,0)-1)/COUNT($BU$2:$BU$7)&lt;0.2,"High",IF((RANK(BU7,$BU$2:$BU$7,0)-1)/COUNT($BU$2:$BU$7)&lt;0.4,"Good",IF((RANK(BU7,$BU$2:$BU$7,0)-1)/COUNT($BU$2:$BU$7)&lt;0.6,"Average",IF((RANK(BU7,$BU$2:$BU$7,0)-1)/COUNT($BU$2:$BU$7)&lt;0.8,"Weak","Poor"))))),"")</f>
        <v>High</v>
      </c>
    </row>
  </sheetData>
  <autoFilter ref="A1:BV7"/>
  <conditionalFormatting sqref="AI2:AI7">
    <cfRule type="expression" priority="2" aboveAverage="0" equalAverage="0" bottom="0" percent="0" rank="0" text="" dxfId="10">
      <formula>AI2="Improvement"</formula>
    </cfRule>
    <cfRule type="expression" priority="3" aboveAverage="0" equalAverage="0" bottom="0" percent="0" rank="0" text="" dxfId="11">
      <formula>AI2="Deterioration"</formula>
    </cfRule>
    <cfRule type="expression" priority="4" aboveAverage="0" equalAverage="0" bottom="0" percent="0" rank="0" text="" dxfId="12">
      <formula>AI2="Neutral"</formula>
    </cfRule>
  </conditionalFormatting>
  <conditionalFormatting sqref="AM2:AM7">
    <cfRule type="expression" priority="5" aboveAverage="0" equalAverage="0" bottom="0" percent="0" rank="0" text="" dxfId="10">
      <formula>AM2="Improvement"</formula>
    </cfRule>
    <cfRule type="expression" priority="6" aboveAverage="0" equalAverage="0" bottom="0" percent="0" rank="0" text="" dxfId="11">
      <formula>AM2="Deterioration"</formula>
    </cfRule>
    <cfRule type="expression" priority="7" aboveAverage="0" equalAverage="0" bottom="0" percent="0" rank="0" text="" dxfId="12">
      <formula>AM2="Neutral"</formula>
    </cfRule>
  </conditionalFormatting>
  <conditionalFormatting sqref="AQ2:AQ7">
    <cfRule type="expression" priority="8" aboveAverage="0" equalAverage="0" bottom="0" percent="0" rank="0" text="" dxfId="10">
      <formula>AQ2="Improvement"</formula>
    </cfRule>
    <cfRule type="expression" priority="9" aboveAverage="0" equalAverage="0" bottom="0" percent="0" rank="0" text="" dxfId="11">
      <formula>AQ2="Deterioration"</formula>
    </cfRule>
    <cfRule type="expression" priority="10" aboveAverage="0" equalAverage="0" bottom="0" percent="0" rank="0" text="" dxfId="12">
      <formula>AQ2="Neutral"</formula>
    </cfRule>
  </conditionalFormatting>
  <conditionalFormatting sqref="AU2:AU7">
    <cfRule type="expression" priority="11" aboveAverage="0" equalAverage="0" bottom="0" percent="0" rank="0" text="" dxfId="10">
      <formula>AU2="Improvement"</formula>
    </cfRule>
    <cfRule type="expression" priority="12" aboveAverage="0" equalAverage="0" bottom="0" percent="0" rank="0" text="" dxfId="11">
      <formula>AU2="Deterioration"</formula>
    </cfRule>
    <cfRule type="expression" priority="13" aboveAverage="0" equalAverage="0" bottom="0" percent="0" rank="0" text="" dxfId="12">
      <formula>AU2="Neutral"</formula>
    </cfRule>
  </conditionalFormatting>
  <conditionalFormatting sqref="AY2:AY7">
    <cfRule type="expression" priority="14" aboveAverage="0" equalAverage="0" bottom="0" percent="0" rank="0" text="" dxfId="10">
      <formula>AY2="Improvement"</formula>
    </cfRule>
    <cfRule type="expression" priority="15" aboveAverage="0" equalAverage="0" bottom="0" percent="0" rank="0" text="" dxfId="11">
      <formula>AY2="Deterioration"</formula>
    </cfRule>
    <cfRule type="expression" priority="16" aboveAverage="0" equalAverage="0" bottom="0" percent="0" rank="0" text="" dxfId="12">
      <formula>AY2="Neutral"</formula>
    </cfRule>
  </conditionalFormatting>
  <conditionalFormatting sqref="BC2:BC7">
    <cfRule type="expression" priority="17" aboveAverage="0" equalAverage="0" bottom="0" percent="0" rank="0" text="" dxfId="10">
      <formula>BC2="Improvement"</formula>
    </cfRule>
    <cfRule type="expression" priority="18" aboveAverage="0" equalAverage="0" bottom="0" percent="0" rank="0" text="" dxfId="11">
      <formula>BC2="Deterioration"</formula>
    </cfRule>
    <cfRule type="expression" priority="19" aboveAverage="0" equalAverage="0" bottom="0" percent="0" rank="0" text="" dxfId="12">
      <formula>BC2="Neutral"</formula>
    </cfRule>
  </conditionalFormatting>
  <conditionalFormatting sqref="V2:V7">
    <cfRule type="cellIs" priority="20" operator="equal" aboveAverage="0" equalAverage="0" bottom="0" percent="0" rank="0" text="" dxfId="10">
      <formula>1</formula>
    </cfRule>
    <cfRule type="cellIs" priority="21" operator="equal" aboveAverage="0" equalAverage="0" bottom="0" percent="0" rank="0" text="" dxfId="11">
      <formula>0</formula>
    </cfRule>
  </conditionalFormatting>
  <conditionalFormatting sqref="W2:W7">
    <cfRule type="cellIs" priority="22" operator="equal" aboveAverage="0" equalAverage="0" bottom="0" percent="0" rank="0" text="" dxfId="10">
      <formula>1</formula>
    </cfRule>
    <cfRule type="cellIs" priority="23" operator="equal" aboveAverage="0" equalAverage="0" bottom="0" percent="0" rank="0" text="" dxfId="11">
      <formula>0</formula>
    </cfRule>
  </conditionalFormatting>
  <conditionalFormatting sqref="X2:X7">
    <cfRule type="cellIs" priority="24" operator="equal" aboveAverage="0" equalAverage="0" bottom="0" percent="0" rank="0" text="" dxfId="10">
      <formula>1</formula>
    </cfRule>
    <cfRule type="cellIs" priority="25" operator="equal" aboveAverage="0" equalAverage="0" bottom="0" percent="0" rank="0" text="" dxfId="11">
      <formula>0</formula>
    </cfRule>
  </conditionalFormatting>
  <conditionalFormatting sqref="Y2:Y7">
    <cfRule type="cellIs" priority="26" operator="equal" aboveAverage="0" equalAverage="0" bottom="0" percent="0" rank="0" text="" dxfId="10">
      <formula>1</formula>
    </cfRule>
    <cfRule type="cellIs" priority="27" operator="equal" aboveAverage="0" equalAverage="0" bottom="0" percent="0" rank="0" text="" dxfId="11">
      <formula>0</formula>
    </cfRule>
  </conditionalFormatting>
  <conditionalFormatting sqref="Z2:Z7">
    <cfRule type="cellIs" priority="28" operator="equal" aboveAverage="0" equalAverage="0" bottom="0" percent="0" rank="0" text="" dxfId="10">
      <formula>1</formula>
    </cfRule>
    <cfRule type="cellIs" priority="29" operator="equal" aboveAverage="0" equalAverage="0" bottom="0" percent="0" rank="0" text="" dxfId="11">
      <formula>0</formula>
    </cfRule>
  </conditionalFormatting>
  <conditionalFormatting sqref="AA2:AA7">
    <cfRule type="cellIs" priority="30" operator="equal" aboveAverage="0" equalAverage="0" bottom="0" percent="0" rank="0" text="" dxfId="10">
      <formula>1</formula>
    </cfRule>
    <cfRule type="cellIs" priority="31" operator="equal" aboveAverage="0" equalAverage="0" bottom="0" percent="0" rank="0" text="" dxfId="11">
      <formula>0</formula>
    </cfRule>
  </conditionalFormatting>
  <conditionalFormatting sqref="AB2:AB7">
    <cfRule type="cellIs" priority="32" operator="equal" aboveAverage="0" equalAverage="0" bottom="0" percent="0" rank="0" text="" dxfId="10">
      <formula>1</formula>
    </cfRule>
    <cfRule type="cellIs" priority="33" operator="equal" aboveAverage="0" equalAverage="0" bottom="0" percent="0" rank="0" text="" dxfId="11">
      <formula>0</formula>
    </cfRule>
  </conditionalFormatting>
  <conditionalFormatting sqref="AC2:AC7">
    <cfRule type="cellIs" priority="34" operator="equal" aboveAverage="0" equalAverage="0" bottom="0" percent="0" rank="0" text="" dxfId="10">
      <formula>1</formula>
    </cfRule>
    <cfRule type="cellIs" priority="35" operator="equal" aboveAverage="0" equalAverage="0" bottom="0" percent="0" rank="0" text="" dxfId="11">
      <formula>0</formula>
    </cfRule>
  </conditionalFormatting>
  <conditionalFormatting sqref="AD2:AD7">
    <cfRule type="cellIs" priority="36" operator="equal" aboveAverage="0" equalAverage="0" bottom="0" percent="0" rank="0" text="" dxfId="10">
      <formula>1</formula>
    </cfRule>
    <cfRule type="cellIs" priority="37" operator="equal" aboveAverage="0" equalAverage="0" bottom="0" percent="0" rank="0" text="" dxfId="11">
      <formula>0</formula>
    </cfRule>
  </conditionalFormatting>
  <conditionalFormatting sqref="AE2:AE7">
    <cfRule type="cellIs" priority="38" operator="equal" aboveAverage="0" equalAverage="0" bottom="0" percent="0" rank="0" text="" dxfId="10">
      <formula>1</formula>
    </cfRule>
    <cfRule type="cellIs" priority="39" operator="equal" aboveAverage="0" equalAverage="0" bottom="0" percent="0" rank="0" text="" dxfId="11">
      <formula>0</formula>
    </cfRule>
  </conditionalFormatting>
  <conditionalFormatting sqref="U2:U7">
    <cfRule type="cellIs" priority="40" operator="lessThan" aboveAverage="0" equalAverage="0" bottom="0" percent="0" rank="0" text="" dxfId="11">
      <formula>60</formula>
    </cfRule>
    <cfRule type="cellIs" priority="41" operator="between" aboveAverage="0" equalAverage="0" bottom="0" percent="0" rank="0" text="" dxfId="13">
      <formula>60</formula>
      <formula>79</formula>
    </cfRule>
    <cfRule type="cellIs" priority="42" operator="greaterThanOrEqual" aboveAverage="0" equalAverage="0" bottom="0" percent="0" rank="0" text="" dxfId="10">
      <formula>80</formula>
    </cfRule>
  </conditionalFormatting>
  <conditionalFormatting sqref="BJ2:BJ7">
    <cfRule type="expression" priority="43" aboveAverage="0" equalAverage="0" bottom="0" percent="0" rank="0" text="" dxfId="10">
      <formula>BJ2="Green"</formula>
    </cfRule>
    <cfRule type="expression" priority="44" aboveAverage="0" equalAverage="0" bottom="0" percent="0" rank="0" text="" dxfId="13">
      <formula>BJ2="Amber"</formula>
    </cfRule>
    <cfRule type="expression" priority="45" aboveAverage="0" equalAverage="0" bottom="0" percent="0" rank="0" text="" dxfId="11">
      <formula>BJ2="Red"</formula>
    </cfRule>
  </conditionalFormatting>
  <conditionalFormatting sqref="BL2:BL7">
    <cfRule type="cellIs" priority="46" operator="equal" aboveAverage="0" equalAverage="0" bottom="0" percent="0" rank="0" text="" dxfId="10">
      <formula>1</formula>
    </cfRule>
    <cfRule type="cellIs" priority="47" operator="equal" aboveAverage="0" equalAverage="0" bottom="0" percent="0" rank="0" text="" dxfId="11">
      <formula>0</formula>
    </cfRule>
  </conditionalFormatting>
  <conditionalFormatting sqref="BV2:BV7">
    <cfRule type="expression" priority="48" aboveAverage="0" equalAverage="0" bottom="0" percent="0" rank="0" text="" dxfId="10">
      <formula>BV2="High"</formula>
    </cfRule>
    <cfRule type="expression" priority="49" aboveAverage="0" equalAverage="0" bottom="0" percent="0" rank="0" text="" dxfId="14">
      <formula>BV2="Good"</formula>
    </cfRule>
    <cfRule type="expression" priority="50" aboveAverage="0" equalAverage="0" bottom="0" percent="0" rank="0" text="" dxfId="12">
      <formula>BV2="Average"</formula>
    </cfRule>
    <cfRule type="expression" priority="51" aboveAverage="0" equalAverage="0" bottom="0" percent="0" rank="0" text="" dxfId="15">
      <formula>BV2="Weak"</formula>
    </cfRule>
    <cfRule type="expression" priority="52" aboveAverage="0" equalAverage="0" bottom="0" percent="0" rank="0" text="" dxfId="11">
      <formula>BV2="Poor"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3" t="s">
        <v>9</v>
      </c>
      <c r="B1" s="13" t="s">
        <v>83</v>
      </c>
      <c r="C1" s="13" t="s">
        <v>10</v>
      </c>
      <c r="D1" s="13" t="s">
        <v>11</v>
      </c>
      <c r="E1" s="13" t="s">
        <v>84</v>
      </c>
      <c r="F1" s="13" t="s">
        <v>16</v>
      </c>
      <c r="G1" s="13" t="s">
        <v>85</v>
      </c>
    </row>
    <row r="2" customFormat="false" ht="15" hidden="false" customHeight="false" outlineLevel="0" collapsed="false">
      <c r="A2" s="14" t="s">
        <v>86</v>
      </c>
      <c r="B2" s="14" t="s">
        <v>87</v>
      </c>
      <c r="C2" s="14" t="s">
        <v>88</v>
      </c>
      <c r="D2" s="14" t="s">
        <v>89</v>
      </c>
      <c r="E2" s="14" t="n">
        <v>1750000</v>
      </c>
      <c r="F2" s="14" t="n">
        <v>24.1</v>
      </c>
      <c r="G2" s="14" t="n">
        <v>2.3</v>
      </c>
    </row>
    <row r="3" customFormat="false" ht="15" hidden="false" customHeight="false" outlineLevel="0" collapsed="false">
      <c r="A3" s="14" t="s">
        <v>90</v>
      </c>
      <c r="B3" s="14" t="s">
        <v>91</v>
      </c>
      <c r="C3" s="14" t="s">
        <v>92</v>
      </c>
      <c r="D3" s="14" t="s">
        <v>93</v>
      </c>
      <c r="E3" s="14" t="n">
        <v>1420000</v>
      </c>
      <c r="F3" s="14" t="n">
        <v>27.8</v>
      </c>
      <c r="G3" s="14" t="n">
        <v>12.1</v>
      </c>
    </row>
    <row r="4" customFormat="false" ht="15" hidden="false" customHeight="false" outlineLevel="0" collapsed="false">
      <c r="A4" s="14" t="s">
        <v>94</v>
      </c>
      <c r="B4" s="14" t="s">
        <v>95</v>
      </c>
      <c r="C4" s="14" t="s">
        <v>96</v>
      </c>
      <c r="D4" s="14" t="s">
        <v>97</v>
      </c>
      <c r="E4" s="14" t="n">
        <v>1280000</v>
      </c>
      <c r="F4" s="14" t="n">
        <v>18.4</v>
      </c>
      <c r="G4" s="14" t="n">
        <v>2.6</v>
      </c>
    </row>
    <row r="5" customFormat="false" ht="15" hidden="false" customHeight="false" outlineLevel="0" collapsed="false">
      <c r="A5" s="14" t="s">
        <v>98</v>
      </c>
      <c r="B5" s="14" t="s">
        <v>99</v>
      </c>
      <c r="C5" s="14" t="s">
        <v>100</v>
      </c>
      <c r="D5" s="14" t="s">
        <v>101</v>
      </c>
      <c r="E5" s="14" t="n">
        <v>540000</v>
      </c>
      <c r="F5" s="14" t="n">
        <v>22.9</v>
      </c>
      <c r="G5" s="14" t="n">
        <v>6.2</v>
      </c>
    </row>
    <row r="6" customFormat="false" ht="15" hidden="false" customHeight="false" outlineLevel="0" collapsed="false">
      <c r="A6" s="14" t="s">
        <v>102</v>
      </c>
      <c r="B6" s="14" t="s">
        <v>103</v>
      </c>
      <c r="C6" s="14" t="s">
        <v>104</v>
      </c>
      <c r="D6" s="14" t="s">
        <v>93</v>
      </c>
      <c r="E6" s="14" t="n">
        <v>260000</v>
      </c>
      <c r="F6" s="14" t="n">
        <v>20.3</v>
      </c>
      <c r="G6" s="14" t="n">
        <v>3.4</v>
      </c>
    </row>
    <row r="7" customFormat="false" ht="15" hidden="false" customHeight="false" outlineLevel="0" collapsed="false">
      <c r="A7" s="14" t="s">
        <v>105</v>
      </c>
      <c r="B7" s="14" t="s">
        <v>106</v>
      </c>
      <c r="C7" s="14" t="s">
        <v>107</v>
      </c>
      <c r="D7" s="14" t="s">
        <v>108</v>
      </c>
      <c r="E7" s="14" t="n">
        <v>300000</v>
      </c>
      <c r="F7" s="14" t="n">
        <v>15.2</v>
      </c>
      <c r="G7" s="14" t="n">
        <v>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2" style="0" width="10"/>
  </cols>
  <sheetData>
    <row r="1" customFormat="false" ht="23.85" hidden="false" customHeight="false" outlineLevel="0" collapsed="false">
      <c r="A1" s="13" t="s">
        <v>9</v>
      </c>
      <c r="B1" s="13" t="s">
        <v>109</v>
      </c>
      <c r="C1" s="13" t="s">
        <v>110</v>
      </c>
      <c r="D1" s="13" t="s">
        <v>111</v>
      </c>
      <c r="E1" s="13" t="s">
        <v>112</v>
      </c>
      <c r="F1" s="13" t="s">
        <v>113</v>
      </c>
      <c r="G1" s="13" t="s">
        <v>114</v>
      </c>
      <c r="H1" s="13" t="s">
        <v>115</v>
      </c>
      <c r="I1" s="13" t="s">
        <v>116</v>
      </c>
      <c r="J1" s="13" t="s">
        <v>117</v>
      </c>
      <c r="K1" s="13" t="s">
        <v>118</v>
      </c>
      <c r="L1" s="13" t="s">
        <v>119</v>
      </c>
      <c r="M1" s="13" t="s">
        <v>120</v>
      </c>
      <c r="N1" s="13" t="s">
        <v>121</v>
      </c>
      <c r="O1" s="13" t="s">
        <v>122</v>
      </c>
      <c r="P1" s="13" t="s">
        <v>123</v>
      </c>
      <c r="Q1" s="13" t="s">
        <v>124</v>
      </c>
      <c r="R1" s="13" t="s">
        <v>125</v>
      </c>
      <c r="S1" s="13" t="s">
        <v>126</v>
      </c>
      <c r="T1" s="13" t="s">
        <v>127</v>
      </c>
      <c r="U1" s="13" t="s">
        <v>128</v>
      </c>
      <c r="V1" s="13" t="s">
        <v>129</v>
      </c>
      <c r="W1" s="13" t="s">
        <v>130</v>
      </c>
      <c r="X1" s="13" t="s">
        <v>131</v>
      </c>
      <c r="Y1" s="13" t="s">
        <v>132</v>
      </c>
      <c r="Z1" s="13" t="s">
        <v>133</v>
      </c>
      <c r="AA1" s="13" t="s">
        <v>134</v>
      </c>
      <c r="AB1" s="13" t="s">
        <v>135</v>
      </c>
      <c r="AC1" s="13" t="s">
        <v>136</v>
      </c>
      <c r="AD1" s="13" t="s">
        <v>137</v>
      </c>
      <c r="AE1" s="13" t="s">
        <v>138</v>
      </c>
      <c r="AF1" s="13" t="s">
        <v>139</v>
      </c>
      <c r="AG1" s="13" t="s">
        <v>140</v>
      </c>
    </row>
    <row r="2" customFormat="false" ht="15" hidden="false" customHeight="false" outlineLevel="0" collapsed="false">
      <c r="A2" s="14" t="s">
        <v>86</v>
      </c>
      <c r="B2" s="14" t="n">
        <v>13.79</v>
      </c>
      <c r="C2" s="14" t="n">
        <v>12.21</v>
      </c>
      <c r="D2" s="14" t="n">
        <v>17.59</v>
      </c>
      <c r="E2" s="14" t="n">
        <v>18.46</v>
      </c>
      <c r="F2" s="14" t="n">
        <v>18.06</v>
      </c>
      <c r="G2" s="14" t="n">
        <v>17.9</v>
      </c>
      <c r="H2" s="14" t="n">
        <v>14.93</v>
      </c>
      <c r="I2" s="14" t="n">
        <v>17.22</v>
      </c>
      <c r="J2" s="14" t="n">
        <v>43.1</v>
      </c>
      <c r="K2" s="14" t="n">
        <v>47.43</v>
      </c>
      <c r="L2" s="14" t="n">
        <v>53.63</v>
      </c>
      <c r="M2" s="14" t="n">
        <v>59.55</v>
      </c>
      <c r="N2" s="14" t="n">
        <v>212400</v>
      </c>
      <c r="O2" s="14" t="n">
        <v>228859</v>
      </c>
      <c r="P2" s="14" t="n">
        <v>242710</v>
      </c>
      <c r="Q2" s="14" t="n">
        <v>273728</v>
      </c>
      <c r="R2" s="14" t="n">
        <v>61923</v>
      </c>
      <c r="S2" s="14" t="n">
        <v>50265</v>
      </c>
      <c r="T2" s="14" t="n">
        <v>78542</v>
      </c>
      <c r="U2" s="14" t="n">
        <v>86135</v>
      </c>
      <c r="V2" s="14" t="n">
        <v>111197</v>
      </c>
      <c r="W2" s="14" t="n">
        <v>120259</v>
      </c>
      <c r="X2" s="14" t="n">
        <v>134746</v>
      </c>
      <c r="Y2" s="14" t="n">
        <v>146178</v>
      </c>
      <c r="Z2" s="14" t="n">
        <v>223071</v>
      </c>
      <c r="AA2" s="14" t="n">
        <v>221706</v>
      </c>
      <c r="AB2" s="14" t="n">
        <v>220253</v>
      </c>
      <c r="AC2" s="14" t="n">
        <v>242856</v>
      </c>
      <c r="AD2" s="14" t="n">
        <v>11991</v>
      </c>
      <c r="AE2" s="14" t="n">
        <v>14886</v>
      </c>
      <c r="AF2" s="14" t="n">
        <v>6039</v>
      </c>
      <c r="AG2" s="14" t="n">
        <v>15582</v>
      </c>
    </row>
    <row r="3" customFormat="false" ht="15" hidden="false" customHeight="false" outlineLevel="0" collapsed="false">
      <c r="A3" s="14" t="s">
        <v>90</v>
      </c>
      <c r="B3" s="14" t="n">
        <v>16.62</v>
      </c>
      <c r="C3" s="14" t="n">
        <v>17.09</v>
      </c>
      <c r="D3" s="14" t="n">
        <v>17.83</v>
      </c>
      <c r="E3" s="14" t="n">
        <v>13.83</v>
      </c>
      <c r="F3" s="14" t="n">
        <v>14.27</v>
      </c>
      <c r="G3" s="14" t="n">
        <v>16.22</v>
      </c>
      <c r="H3" s="14" t="n">
        <v>16.28</v>
      </c>
      <c r="I3" s="14" t="n">
        <v>15.89</v>
      </c>
      <c r="J3" s="14" t="n">
        <v>45.45</v>
      </c>
      <c r="K3" s="14" t="n">
        <v>48.98</v>
      </c>
      <c r="L3" s="14" t="n">
        <v>52.27</v>
      </c>
      <c r="M3" s="14" t="n">
        <v>58.94</v>
      </c>
      <c r="N3" s="14" t="n">
        <v>221896</v>
      </c>
      <c r="O3" s="14" t="n">
        <v>237003</v>
      </c>
      <c r="P3" s="14" t="n">
        <v>262772</v>
      </c>
      <c r="Q3" s="14" t="n">
        <v>296257</v>
      </c>
      <c r="R3" s="14" t="n">
        <v>32653</v>
      </c>
      <c r="S3" s="14" t="n">
        <v>34744</v>
      </c>
      <c r="T3" s="14" t="n">
        <v>81140</v>
      </c>
      <c r="U3" s="14" t="n">
        <v>46599</v>
      </c>
      <c r="V3" s="14" t="n">
        <v>112147</v>
      </c>
      <c r="W3" s="14" t="n">
        <v>122424</v>
      </c>
      <c r="X3" s="14" t="n">
        <v>136185</v>
      </c>
      <c r="Y3" s="14" t="n">
        <v>151741</v>
      </c>
      <c r="Z3" s="14" t="n">
        <v>206678</v>
      </c>
      <c r="AA3" s="14" t="n">
        <v>223548</v>
      </c>
      <c r="AB3" s="14" t="n">
        <v>204652</v>
      </c>
      <c r="AC3" s="14" t="n">
        <v>288584</v>
      </c>
      <c r="AD3" s="14" t="n">
        <v>5453</v>
      </c>
      <c r="AE3" s="14" t="n">
        <v>21222</v>
      </c>
      <c r="AF3" s="14" t="n">
        <v>13211</v>
      </c>
      <c r="AG3" s="14" t="n">
        <v>27540</v>
      </c>
    </row>
    <row r="4" customFormat="false" ht="15" hidden="false" customHeight="false" outlineLevel="0" collapsed="false">
      <c r="A4" s="14" t="s">
        <v>94</v>
      </c>
      <c r="B4" s="14" t="n">
        <v>15.17</v>
      </c>
      <c r="C4" s="14" t="n">
        <v>15.2</v>
      </c>
      <c r="D4" s="14" t="n">
        <v>15.38</v>
      </c>
      <c r="E4" s="14" t="n">
        <v>17.45</v>
      </c>
      <c r="F4" s="14" t="n">
        <v>16.75</v>
      </c>
      <c r="G4" s="14" t="n">
        <v>19.99</v>
      </c>
      <c r="H4" s="14" t="n">
        <v>16.29</v>
      </c>
      <c r="I4" s="14" t="n">
        <v>15.6</v>
      </c>
      <c r="J4" s="14" t="n">
        <v>44.62</v>
      </c>
      <c r="K4" s="14" t="n">
        <v>50.86</v>
      </c>
      <c r="L4" s="14" t="n">
        <v>57.43</v>
      </c>
      <c r="M4" s="14" t="n">
        <v>64.44</v>
      </c>
      <c r="N4" s="14" t="n">
        <v>217035</v>
      </c>
      <c r="O4" s="14" t="n">
        <v>240207</v>
      </c>
      <c r="P4" s="14" t="n">
        <v>266677</v>
      </c>
      <c r="Q4" s="14" t="n">
        <v>282922</v>
      </c>
      <c r="R4" s="14" t="n">
        <v>34383</v>
      </c>
      <c r="S4" s="14" t="n">
        <v>49608</v>
      </c>
      <c r="T4" s="14" t="n">
        <v>79803</v>
      </c>
      <c r="U4" s="14" t="n">
        <v>68347</v>
      </c>
      <c r="V4" s="14" t="n">
        <v>112382</v>
      </c>
      <c r="W4" s="14" t="n">
        <v>122849</v>
      </c>
      <c r="X4" s="14" t="n">
        <v>133350</v>
      </c>
      <c r="Y4" s="14" t="n">
        <v>149757</v>
      </c>
      <c r="Z4" s="14" t="n">
        <v>207099</v>
      </c>
      <c r="AA4" s="14" t="n">
        <v>251645</v>
      </c>
      <c r="AB4" s="14" t="n">
        <v>219042</v>
      </c>
      <c r="AC4" s="14" t="n">
        <v>292598</v>
      </c>
      <c r="AD4" s="14" t="n">
        <v>13443</v>
      </c>
      <c r="AE4" s="14" t="n">
        <v>5981</v>
      </c>
      <c r="AF4" s="14" t="n">
        <v>21397</v>
      </c>
      <c r="AG4" s="14" t="n">
        <v>16029</v>
      </c>
    </row>
    <row r="5" customFormat="false" ht="15" hidden="false" customHeight="false" outlineLevel="0" collapsed="false">
      <c r="A5" s="14" t="s">
        <v>98</v>
      </c>
      <c r="B5" s="14" t="n">
        <v>14.11</v>
      </c>
      <c r="C5" s="14" t="n">
        <v>18.1</v>
      </c>
      <c r="D5" s="14" t="n">
        <v>18.65</v>
      </c>
      <c r="E5" s="14" t="n">
        <v>18.13</v>
      </c>
      <c r="F5" s="14" t="n">
        <v>15.07</v>
      </c>
      <c r="G5" s="14" t="n">
        <v>18.67</v>
      </c>
      <c r="H5" s="14" t="n">
        <v>14.35</v>
      </c>
      <c r="I5" s="14" t="n">
        <v>16.85</v>
      </c>
      <c r="J5" s="14" t="n">
        <v>45.5</v>
      </c>
      <c r="K5" s="14" t="n">
        <v>48.47</v>
      </c>
      <c r="L5" s="14" t="n">
        <v>55.16</v>
      </c>
      <c r="M5" s="14" t="n">
        <v>62.11</v>
      </c>
      <c r="N5" s="14" t="n">
        <v>227261</v>
      </c>
      <c r="O5" s="14" t="n">
        <v>251968</v>
      </c>
      <c r="P5" s="14" t="n">
        <v>285815</v>
      </c>
      <c r="Q5" s="14" t="n">
        <v>304546</v>
      </c>
      <c r="R5" s="14" t="n">
        <v>62307</v>
      </c>
      <c r="S5" s="14" t="n">
        <v>50534</v>
      </c>
      <c r="T5" s="14" t="n">
        <v>73057</v>
      </c>
      <c r="U5" s="14" t="n">
        <v>61462</v>
      </c>
      <c r="V5" s="14" t="n">
        <v>110269</v>
      </c>
      <c r="W5" s="14" t="n">
        <v>122613</v>
      </c>
      <c r="X5" s="14" t="n">
        <v>132541</v>
      </c>
      <c r="Y5" s="14" t="n">
        <v>146365</v>
      </c>
      <c r="Z5" s="14" t="n">
        <v>159783</v>
      </c>
      <c r="AA5" s="14" t="n">
        <v>279858</v>
      </c>
      <c r="AB5" s="14" t="n">
        <v>194674</v>
      </c>
      <c r="AC5" s="14" t="n">
        <v>287570</v>
      </c>
      <c r="AD5" s="14" t="n">
        <v>7011</v>
      </c>
      <c r="AE5" s="14" t="n">
        <v>12855</v>
      </c>
      <c r="AF5" s="14" t="n">
        <v>5227</v>
      </c>
      <c r="AG5" s="14" t="n">
        <v>25822</v>
      </c>
    </row>
    <row r="6" customFormat="false" ht="15" hidden="false" customHeight="false" outlineLevel="0" collapsed="false">
      <c r="A6" s="14" t="s">
        <v>102</v>
      </c>
      <c r="B6" s="14" t="n">
        <v>17.84</v>
      </c>
      <c r="C6" s="14" t="n">
        <v>14.7</v>
      </c>
      <c r="D6" s="14" t="n">
        <v>12.57</v>
      </c>
      <c r="E6" s="14" t="n">
        <v>18.46</v>
      </c>
      <c r="F6" s="14" t="n">
        <v>15.87</v>
      </c>
      <c r="G6" s="14" t="n">
        <v>15.38</v>
      </c>
      <c r="H6" s="14" t="n">
        <v>18.01</v>
      </c>
      <c r="I6" s="14" t="n">
        <v>14.58</v>
      </c>
      <c r="J6" s="14" t="n">
        <v>44.16</v>
      </c>
      <c r="K6" s="14" t="n">
        <v>47.36</v>
      </c>
      <c r="L6" s="14" t="n">
        <v>53.8</v>
      </c>
      <c r="M6" s="14" t="n">
        <v>60.71</v>
      </c>
      <c r="N6" s="14" t="n">
        <v>215389</v>
      </c>
      <c r="O6" s="14" t="n">
        <v>230397</v>
      </c>
      <c r="P6" s="14" t="n">
        <v>260909</v>
      </c>
      <c r="Q6" s="14" t="n">
        <v>286430</v>
      </c>
      <c r="R6" s="14" t="n">
        <v>65856</v>
      </c>
      <c r="S6" s="14" t="n">
        <v>35082</v>
      </c>
      <c r="T6" s="14" t="n">
        <v>37972</v>
      </c>
      <c r="U6" s="14" t="n">
        <v>54872</v>
      </c>
      <c r="V6" s="14" t="n">
        <v>110116</v>
      </c>
      <c r="W6" s="14" t="n">
        <v>121775</v>
      </c>
      <c r="X6" s="14" t="n">
        <v>132911</v>
      </c>
      <c r="Y6" s="14" t="n">
        <v>147338</v>
      </c>
      <c r="Z6" s="14" t="n">
        <v>166978</v>
      </c>
      <c r="AA6" s="14" t="n">
        <v>244428</v>
      </c>
      <c r="AB6" s="14" t="n">
        <v>266401</v>
      </c>
      <c r="AC6" s="14" t="n">
        <v>248175</v>
      </c>
      <c r="AD6" s="14" t="n">
        <v>9192</v>
      </c>
      <c r="AE6" s="14" t="n">
        <v>17229</v>
      </c>
      <c r="AF6" s="14" t="n">
        <v>25266</v>
      </c>
      <c r="AG6" s="14" t="n">
        <v>14236</v>
      </c>
    </row>
    <row r="7" customFormat="false" ht="15" hidden="false" customHeight="false" outlineLevel="0" collapsed="false">
      <c r="A7" s="14" t="s">
        <v>105</v>
      </c>
      <c r="B7" s="14" t="n">
        <v>12.79</v>
      </c>
      <c r="C7" s="14" t="n">
        <v>14</v>
      </c>
      <c r="D7" s="14" t="n">
        <v>19.41</v>
      </c>
      <c r="E7" s="14" t="n">
        <v>14.12</v>
      </c>
      <c r="F7" s="14" t="n">
        <v>16.04</v>
      </c>
      <c r="G7" s="14" t="n">
        <v>16.66</v>
      </c>
      <c r="H7" s="14" t="n">
        <v>15</v>
      </c>
      <c r="I7" s="14" t="n">
        <v>16.73</v>
      </c>
      <c r="J7" s="14" t="n">
        <v>45.94</v>
      </c>
      <c r="K7" s="14" t="n">
        <v>49.51</v>
      </c>
      <c r="L7" s="14" t="n">
        <v>56.79</v>
      </c>
      <c r="M7" s="14" t="n">
        <v>65.22</v>
      </c>
      <c r="N7" s="14" t="n">
        <v>222774</v>
      </c>
      <c r="O7" s="14" t="n">
        <v>243659</v>
      </c>
      <c r="P7" s="14" t="n">
        <v>274575</v>
      </c>
      <c r="Q7" s="14" t="n">
        <v>299374</v>
      </c>
      <c r="R7" s="14" t="n">
        <v>60810</v>
      </c>
      <c r="S7" s="14" t="n">
        <v>67023</v>
      </c>
      <c r="T7" s="14" t="n">
        <v>54832</v>
      </c>
      <c r="U7" s="14" t="n">
        <v>55606</v>
      </c>
      <c r="V7" s="14" t="n">
        <v>111645</v>
      </c>
      <c r="W7" s="14" t="n">
        <v>123081</v>
      </c>
      <c r="X7" s="14" t="n">
        <v>139077</v>
      </c>
      <c r="Y7" s="14" t="n">
        <v>150611</v>
      </c>
      <c r="Z7" s="14" t="n">
        <v>212329</v>
      </c>
      <c r="AA7" s="14" t="n">
        <v>198065</v>
      </c>
      <c r="AB7" s="14" t="n">
        <v>267032</v>
      </c>
      <c r="AC7" s="14" t="n">
        <v>203049</v>
      </c>
      <c r="AD7" s="14" t="n">
        <v>7478</v>
      </c>
      <c r="AE7" s="14" t="n">
        <v>4763</v>
      </c>
      <c r="AF7" s="14" t="n">
        <v>13908</v>
      </c>
      <c r="AG7" s="14" t="n">
        <v>20231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8" min="5" style="0" width="9"/>
  </cols>
  <sheetData>
    <row r="1" customFormat="false" ht="15" hidden="false" customHeight="false" outlineLevel="0" collapsed="false">
      <c r="A1" s="13" t="s">
        <v>9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  <c r="G1" s="13" t="s">
        <v>146</v>
      </c>
      <c r="H1" s="13" t="s">
        <v>147</v>
      </c>
    </row>
    <row r="2" customFormat="false" ht="15" hidden="false" customHeight="false" outlineLevel="0" collapsed="false">
      <c r="A2" s="14" t="s">
        <v>86</v>
      </c>
      <c r="B2" s="15" t="n">
        <v>45874</v>
      </c>
      <c r="C2" s="14" t="n">
        <v>2413.72</v>
      </c>
      <c r="D2" s="14" t="n">
        <v>1936816</v>
      </c>
      <c r="E2" s="16" t="n">
        <f aca="false">COUNTIFS($A$2:$A$1561,A2,$B$2:$B$1561,"&gt;"&amp;B2)+1</f>
        <v>260</v>
      </c>
    </row>
    <row r="3" customFormat="false" ht="15" hidden="false" customHeight="false" outlineLevel="0" collapsed="false">
      <c r="A3" s="14" t="s">
        <v>86</v>
      </c>
      <c r="B3" s="15" t="n">
        <v>45875</v>
      </c>
      <c r="C3" s="14" t="n">
        <v>2400.03</v>
      </c>
      <c r="D3" s="14" t="n">
        <v>1093415</v>
      </c>
      <c r="E3" s="16" t="n">
        <f aca="false">COUNTIFS($A$2:$A$1561,A3,$B$2:$B$1561,"&gt;"&amp;B3)+1</f>
        <v>259</v>
      </c>
      <c r="F3" s="16" t="n">
        <f aca="false">IF(A3=A2,C3-C2,"")</f>
        <v>-13.6899999999996</v>
      </c>
      <c r="G3" s="16" t="n">
        <f aca="false">IF(A3=A2,IF(F3&gt;0,F3,0),"")</f>
        <v>0</v>
      </c>
      <c r="H3" s="16" t="n">
        <f aca="false">IF(A3=A2,IF(F3&lt;0,-F3,0),"")</f>
        <v>13.6899999999996</v>
      </c>
    </row>
    <row r="4" customFormat="false" ht="15" hidden="false" customHeight="false" outlineLevel="0" collapsed="false">
      <c r="A4" s="14" t="s">
        <v>86</v>
      </c>
      <c r="B4" s="15" t="n">
        <v>45876</v>
      </c>
      <c r="C4" s="14" t="n">
        <v>2421.57</v>
      </c>
      <c r="D4" s="14" t="n">
        <v>1658360</v>
      </c>
      <c r="E4" s="16" t="n">
        <f aca="false">COUNTIFS($A$2:$A$1561,A4,$B$2:$B$1561,"&gt;"&amp;B4)+1</f>
        <v>258</v>
      </c>
      <c r="F4" s="16" t="n">
        <f aca="false">IF(A4=A3,C4-C3,"")</f>
        <v>21.54</v>
      </c>
      <c r="G4" s="16" t="n">
        <f aca="false">IF(A4=A3,IF(F4&gt;0,F4,0),"")</f>
        <v>21.54</v>
      </c>
      <c r="H4" s="16" t="n">
        <f aca="false">IF(A4=A3,IF(F4&lt;0,-F4,0),"")</f>
        <v>0</v>
      </c>
    </row>
    <row r="5" customFormat="false" ht="15" hidden="false" customHeight="false" outlineLevel="0" collapsed="false">
      <c r="A5" s="14" t="s">
        <v>86</v>
      </c>
      <c r="B5" s="15" t="n">
        <v>45877</v>
      </c>
      <c r="C5" s="14" t="n">
        <v>2424.72</v>
      </c>
      <c r="D5" s="14" t="n">
        <v>1995951</v>
      </c>
      <c r="E5" s="16" t="n">
        <f aca="false">COUNTIFS($A$2:$A$1561,A5,$B$2:$B$1561,"&gt;"&amp;B5)+1</f>
        <v>257</v>
      </c>
      <c r="F5" s="16" t="n">
        <f aca="false">IF(A5=A4,C5-C4,"")</f>
        <v>3.14999999999964</v>
      </c>
      <c r="G5" s="16" t="n">
        <f aca="false">IF(A5=A4,IF(F5&gt;0,F5,0),"")</f>
        <v>3.14999999999964</v>
      </c>
      <c r="H5" s="16" t="n">
        <f aca="false">IF(A5=A4,IF(F5&lt;0,-F5,0),"")</f>
        <v>0</v>
      </c>
    </row>
    <row r="6" customFormat="false" ht="15" hidden="false" customHeight="false" outlineLevel="0" collapsed="false">
      <c r="A6" s="14" t="s">
        <v>86</v>
      </c>
      <c r="B6" s="15" t="n">
        <v>45880</v>
      </c>
      <c r="C6" s="14" t="n">
        <v>2406.7</v>
      </c>
      <c r="D6" s="14" t="n">
        <v>1668355</v>
      </c>
      <c r="E6" s="16" t="n">
        <f aca="false">COUNTIFS($A$2:$A$1561,A6,$B$2:$B$1561,"&gt;"&amp;B6)+1</f>
        <v>256</v>
      </c>
      <c r="F6" s="16" t="n">
        <f aca="false">IF(A6=A5,C6-C5,"")</f>
        <v>-18.02</v>
      </c>
      <c r="G6" s="16" t="n">
        <f aca="false">IF(A6=A5,IF(F6&gt;0,F6,0),"")</f>
        <v>0</v>
      </c>
      <c r="H6" s="16" t="n">
        <f aca="false">IF(A6=A5,IF(F6&lt;0,-F6,0),"")</f>
        <v>18.02</v>
      </c>
    </row>
    <row r="7" customFormat="false" ht="15" hidden="false" customHeight="false" outlineLevel="0" collapsed="false">
      <c r="A7" s="14" t="s">
        <v>86</v>
      </c>
      <c r="B7" s="15" t="n">
        <v>45881</v>
      </c>
      <c r="C7" s="14" t="n">
        <v>2408.12</v>
      </c>
      <c r="D7" s="14" t="n">
        <v>2205439</v>
      </c>
      <c r="E7" s="16" t="n">
        <f aca="false">COUNTIFS($A$2:$A$1561,A7,$B$2:$B$1561,"&gt;"&amp;B7)+1</f>
        <v>255</v>
      </c>
      <c r="F7" s="16" t="n">
        <f aca="false">IF(A7=A6,C7-C6,"")</f>
        <v>1.42000000000007</v>
      </c>
      <c r="G7" s="16" t="n">
        <f aca="false">IF(A7=A6,IF(F7&gt;0,F7,0),"")</f>
        <v>1.42000000000007</v>
      </c>
      <c r="H7" s="16" t="n">
        <f aca="false">IF(A7=A6,IF(F7&lt;0,-F7,0),"")</f>
        <v>0</v>
      </c>
    </row>
    <row r="8" customFormat="false" ht="15" hidden="false" customHeight="false" outlineLevel="0" collapsed="false">
      <c r="A8" s="14" t="s">
        <v>86</v>
      </c>
      <c r="B8" s="15" t="n">
        <v>45882</v>
      </c>
      <c r="C8" s="14" t="n">
        <v>2394.57</v>
      </c>
      <c r="D8" s="14" t="n">
        <v>2421557</v>
      </c>
      <c r="E8" s="16" t="n">
        <f aca="false">COUNTIFS($A$2:$A$1561,A8,$B$2:$B$1561,"&gt;"&amp;B8)+1</f>
        <v>254</v>
      </c>
      <c r="F8" s="16" t="n">
        <f aca="false">IF(A8=A7,C8-C7,"")</f>
        <v>-13.5499999999997</v>
      </c>
      <c r="G8" s="16" t="n">
        <f aca="false">IF(A8=A7,IF(F8&gt;0,F8,0),"")</f>
        <v>0</v>
      </c>
      <c r="H8" s="16" t="n">
        <f aca="false">IF(A8=A7,IF(F8&lt;0,-F8,0),"")</f>
        <v>13.5499999999997</v>
      </c>
    </row>
    <row r="9" customFormat="false" ht="15" hidden="false" customHeight="false" outlineLevel="0" collapsed="false">
      <c r="A9" s="14" t="s">
        <v>86</v>
      </c>
      <c r="B9" s="15" t="n">
        <v>45883</v>
      </c>
      <c r="C9" s="14" t="n">
        <v>2377.77</v>
      </c>
      <c r="D9" s="14" t="n">
        <v>871649</v>
      </c>
      <c r="E9" s="16" t="n">
        <f aca="false">COUNTIFS($A$2:$A$1561,A9,$B$2:$B$1561,"&gt;"&amp;B9)+1</f>
        <v>253</v>
      </c>
      <c r="F9" s="16" t="n">
        <f aca="false">IF(A9=A8,C9-C8,"")</f>
        <v>-16.8000000000002</v>
      </c>
      <c r="G9" s="16" t="n">
        <f aca="false">IF(A9=A8,IF(F9&gt;0,F9,0),"")</f>
        <v>0</v>
      </c>
      <c r="H9" s="16" t="n">
        <f aca="false">IF(A9=A8,IF(F9&lt;0,-F9,0),"")</f>
        <v>16.8000000000002</v>
      </c>
    </row>
    <row r="10" customFormat="false" ht="15" hidden="false" customHeight="false" outlineLevel="0" collapsed="false">
      <c r="A10" s="14" t="s">
        <v>86</v>
      </c>
      <c r="B10" s="15" t="n">
        <v>45884</v>
      </c>
      <c r="C10" s="14" t="n">
        <v>2383.12</v>
      </c>
      <c r="D10" s="14" t="n">
        <v>1850425</v>
      </c>
      <c r="E10" s="16" t="n">
        <f aca="false">COUNTIFS($A$2:$A$1561,A10,$B$2:$B$1561,"&gt;"&amp;B10)+1</f>
        <v>252</v>
      </c>
      <c r="F10" s="16" t="n">
        <f aca="false">IF(A10=A9,C10-C9,"")</f>
        <v>5.34999999999991</v>
      </c>
      <c r="G10" s="16" t="n">
        <f aca="false">IF(A10=A9,IF(F10&gt;0,F10,0),"")</f>
        <v>5.34999999999991</v>
      </c>
      <c r="H10" s="16" t="n">
        <f aca="false">IF(A10=A9,IF(F10&lt;0,-F10,0),"")</f>
        <v>0</v>
      </c>
    </row>
    <row r="11" customFormat="false" ht="15" hidden="false" customHeight="false" outlineLevel="0" collapsed="false">
      <c r="A11" s="14" t="s">
        <v>86</v>
      </c>
      <c r="B11" s="15" t="n">
        <v>45887</v>
      </c>
      <c r="C11" s="14" t="n">
        <v>2373.05</v>
      </c>
      <c r="D11" s="14" t="n">
        <v>739773</v>
      </c>
      <c r="E11" s="16" t="n">
        <f aca="false">COUNTIFS($A$2:$A$1561,A11,$B$2:$B$1561,"&gt;"&amp;B11)+1</f>
        <v>251</v>
      </c>
      <c r="F11" s="16" t="n">
        <f aca="false">IF(A11=A10,C11-C10,"")</f>
        <v>-10.0699999999997</v>
      </c>
      <c r="G11" s="16" t="n">
        <f aca="false">IF(A11=A10,IF(F11&gt;0,F11,0),"")</f>
        <v>0</v>
      </c>
      <c r="H11" s="16" t="n">
        <f aca="false">IF(A11=A10,IF(F11&lt;0,-F11,0),"")</f>
        <v>10.0699999999997</v>
      </c>
    </row>
    <row r="12" customFormat="false" ht="15" hidden="false" customHeight="false" outlineLevel="0" collapsed="false">
      <c r="A12" s="14" t="s">
        <v>86</v>
      </c>
      <c r="B12" s="15" t="n">
        <v>45888</v>
      </c>
      <c r="C12" s="14" t="n">
        <v>2391</v>
      </c>
      <c r="D12" s="14" t="n">
        <v>992430</v>
      </c>
      <c r="E12" s="16" t="n">
        <f aca="false">COUNTIFS($A$2:$A$1561,A12,$B$2:$B$1561,"&gt;"&amp;B12)+1</f>
        <v>250</v>
      </c>
      <c r="F12" s="16" t="n">
        <f aca="false">IF(A12=A11,C12-C11,"")</f>
        <v>17.9499999999998</v>
      </c>
      <c r="G12" s="16" t="n">
        <f aca="false">IF(A12=A11,IF(F12&gt;0,F12,0),"")</f>
        <v>17.9499999999998</v>
      </c>
      <c r="H12" s="16" t="n">
        <f aca="false">IF(A12=A11,IF(F12&lt;0,-F12,0),"")</f>
        <v>0</v>
      </c>
    </row>
    <row r="13" customFormat="false" ht="15" hidden="false" customHeight="false" outlineLevel="0" collapsed="false">
      <c r="A13" s="14" t="s">
        <v>86</v>
      </c>
      <c r="B13" s="15" t="n">
        <v>45889</v>
      </c>
      <c r="C13" s="14" t="n">
        <v>2396.36</v>
      </c>
      <c r="D13" s="14" t="n">
        <v>1738763</v>
      </c>
      <c r="E13" s="16" t="n">
        <f aca="false">COUNTIFS($A$2:$A$1561,A13,$B$2:$B$1561,"&gt;"&amp;B13)+1</f>
        <v>249</v>
      </c>
      <c r="F13" s="16" t="n">
        <f aca="false">IF(A13=A12,C13-C12,"")</f>
        <v>5.36000000000013</v>
      </c>
      <c r="G13" s="16" t="n">
        <f aca="false">IF(A13=A12,IF(F13&gt;0,F13,0),"")</f>
        <v>5.36000000000013</v>
      </c>
      <c r="H13" s="16" t="n">
        <f aca="false">IF(A13=A12,IF(F13&lt;0,-F13,0),"")</f>
        <v>0</v>
      </c>
    </row>
    <row r="14" customFormat="false" ht="15" hidden="false" customHeight="false" outlineLevel="0" collapsed="false">
      <c r="A14" s="14" t="s">
        <v>86</v>
      </c>
      <c r="B14" s="15" t="n">
        <v>45890</v>
      </c>
      <c r="C14" s="14" t="n">
        <v>2394.17</v>
      </c>
      <c r="D14" s="14" t="n">
        <v>1667344</v>
      </c>
      <c r="E14" s="16" t="n">
        <f aca="false">COUNTIFS($A$2:$A$1561,A14,$B$2:$B$1561,"&gt;"&amp;B14)+1</f>
        <v>248</v>
      </c>
      <c r="F14" s="16" t="n">
        <f aca="false">IF(A14=A13,C14-C13,"")</f>
        <v>-2.19000000000005</v>
      </c>
      <c r="G14" s="16" t="n">
        <f aca="false">IF(A14=A13,IF(F14&gt;0,F14,0),"")</f>
        <v>0</v>
      </c>
      <c r="H14" s="16" t="n">
        <f aca="false">IF(A14=A13,IF(F14&lt;0,-F14,0),"")</f>
        <v>2.19000000000005</v>
      </c>
    </row>
    <row r="15" customFormat="false" ht="15" hidden="false" customHeight="false" outlineLevel="0" collapsed="false">
      <c r="A15" s="14" t="s">
        <v>86</v>
      </c>
      <c r="B15" s="15" t="n">
        <v>45891</v>
      </c>
      <c r="C15" s="14" t="n">
        <v>2396.44</v>
      </c>
      <c r="D15" s="14" t="n">
        <v>2369412</v>
      </c>
      <c r="E15" s="16" t="n">
        <f aca="false">COUNTIFS($A$2:$A$1561,A15,$B$2:$B$1561,"&gt;"&amp;B15)+1</f>
        <v>247</v>
      </c>
      <c r="F15" s="16" t="n">
        <f aca="false">IF(A15=A14,C15-C14,"")</f>
        <v>2.26999999999998</v>
      </c>
      <c r="G15" s="16" t="n">
        <f aca="false">IF(A15=A14,IF(F15&gt;0,F15,0),"")</f>
        <v>2.26999999999998</v>
      </c>
      <c r="H15" s="16" t="n">
        <f aca="false">IF(A15=A14,IF(F15&lt;0,-F15,0),"")</f>
        <v>0</v>
      </c>
    </row>
    <row r="16" customFormat="false" ht="15" hidden="false" customHeight="false" outlineLevel="0" collapsed="false">
      <c r="A16" s="14" t="s">
        <v>86</v>
      </c>
      <c r="B16" s="15" t="n">
        <v>45894</v>
      </c>
      <c r="C16" s="14" t="n">
        <v>2384.98</v>
      </c>
      <c r="D16" s="14" t="n">
        <v>1932383</v>
      </c>
      <c r="E16" s="16" t="n">
        <f aca="false">COUNTIFS($A$2:$A$1561,A16,$B$2:$B$1561,"&gt;"&amp;B16)+1</f>
        <v>246</v>
      </c>
      <c r="F16" s="16" t="n">
        <f aca="false">IF(A16=A15,C16-C15,"")</f>
        <v>-11.46</v>
      </c>
      <c r="G16" s="16" t="n">
        <f aca="false">IF(A16=A15,IF(F16&gt;0,F16,0),"")</f>
        <v>0</v>
      </c>
      <c r="H16" s="16" t="n">
        <f aca="false">IF(A16=A15,IF(F16&lt;0,-F16,0),"")</f>
        <v>11.46</v>
      </c>
    </row>
    <row r="17" customFormat="false" ht="15" hidden="false" customHeight="false" outlineLevel="0" collapsed="false">
      <c r="A17" s="14" t="s">
        <v>86</v>
      </c>
      <c r="B17" s="15" t="n">
        <v>45895</v>
      </c>
      <c r="C17" s="14" t="n">
        <v>2375.05</v>
      </c>
      <c r="D17" s="14" t="n">
        <v>1291571</v>
      </c>
      <c r="E17" s="16" t="n">
        <f aca="false">COUNTIFS($A$2:$A$1561,A17,$B$2:$B$1561,"&gt;"&amp;B17)+1</f>
        <v>245</v>
      </c>
      <c r="F17" s="16" t="n">
        <f aca="false">IF(A17=A16,C17-C16,"")</f>
        <v>-9.92999999999984</v>
      </c>
      <c r="G17" s="16" t="n">
        <f aca="false">IF(A17=A16,IF(F17&gt;0,F17,0),"")</f>
        <v>0</v>
      </c>
      <c r="H17" s="16" t="n">
        <f aca="false">IF(A17=A16,IF(F17&lt;0,-F17,0),"")</f>
        <v>9.92999999999984</v>
      </c>
    </row>
    <row r="18" customFormat="false" ht="15" hidden="false" customHeight="false" outlineLevel="0" collapsed="false">
      <c r="A18" s="14" t="s">
        <v>86</v>
      </c>
      <c r="B18" s="15" t="n">
        <v>45896</v>
      </c>
      <c r="C18" s="14" t="n">
        <v>2383.67</v>
      </c>
      <c r="D18" s="14" t="n">
        <v>1099994</v>
      </c>
      <c r="E18" s="16" t="n">
        <f aca="false">COUNTIFS($A$2:$A$1561,A18,$B$2:$B$1561,"&gt;"&amp;B18)+1</f>
        <v>244</v>
      </c>
      <c r="F18" s="16" t="n">
        <f aca="false">IF(A18=A17,C18-C17,"")</f>
        <v>8.61999999999989</v>
      </c>
      <c r="G18" s="16" t="n">
        <f aca="false">IF(A18=A17,IF(F18&gt;0,F18,0),"")</f>
        <v>8.61999999999989</v>
      </c>
      <c r="H18" s="16" t="n">
        <f aca="false">IF(A18=A17,IF(F18&lt;0,-F18,0),"")</f>
        <v>0</v>
      </c>
    </row>
    <row r="19" customFormat="false" ht="15" hidden="false" customHeight="false" outlineLevel="0" collapsed="false">
      <c r="A19" s="14" t="s">
        <v>86</v>
      </c>
      <c r="B19" s="15" t="n">
        <v>45897</v>
      </c>
      <c r="C19" s="14" t="n">
        <v>2377.07</v>
      </c>
      <c r="D19" s="14" t="n">
        <v>2003728</v>
      </c>
      <c r="E19" s="16" t="n">
        <f aca="false">COUNTIFS($A$2:$A$1561,A19,$B$2:$B$1561,"&gt;"&amp;B19)+1</f>
        <v>243</v>
      </c>
      <c r="F19" s="16" t="n">
        <f aca="false">IF(A19=A18,C19-C18,"")</f>
        <v>-6.59999999999991</v>
      </c>
      <c r="G19" s="16" t="n">
        <f aca="false">IF(A19=A18,IF(F19&gt;0,F19,0),"")</f>
        <v>0</v>
      </c>
      <c r="H19" s="16" t="n">
        <f aca="false">IF(A19=A18,IF(F19&lt;0,-F19,0),"")</f>
        <v>6.59999999999991</v>
      </c>
    </row>
    <row r="20" customFormat="false" ht="15" hidden="false" customHeight="false" outlineLevel="0" collapsed="false">
      <c r="A20" s="14" t="s">
        <v>86</v>
      </c>
      <c r="B20" s="15" t="n">
        <v>45898</v>
      </c>
      <c r="C20" s="14" t="n">
        <v>2360.07</v>
      </c>
      <c r="D20" s="14" t="n">
        <v>1416571</v>
      </c>
      <c r="E20" s="16" t="n">
        <f aca="false">COUNTIFS($A$2:$A$1561,A20,$B$2:$B$1561,"&gt;"&amp;B20)+1</f>
        <v>242</v>
      </c>
      <c r="F20" s="16" t="n">
        <f aca="false">IF(A20=A19,C20-C19,"")</f>
        <v>-17</v>
      </c>
      <c r="G20" s="16" t="n">
        <f aca="false">IF(A20=A19,IF(F20&gt;0,F20,0),"")</f>
        <v>0</v>
      </c>
      <c r="H20" s="16" t="n">
        <f aca="false">IF(A20=A19,IF(F20&lt;0,-F20,0),"")</f>
        <v>17</v>
      </c>
    </row>
    <row r="21" customFormat="false" ht="15" hidden="false" customHeight="false" outlineLevel="0" collapsed="false">
      <c r="A21" s="14" t="s">
        <v>86</v>
      </c>
      <c r="B21" s="15" t="n">
        <v>45901</v>
      </c>
      <c r="C21" s="14" t="n">
        <v>2382.52</v>
      </c>
      <c r="D21" s="14" t="n">
        <v>2492192</v>
      </c>
      <c r="E21" s="16" t="n">
        <f aca="false">COUNTIFS($A$2:$A$1561,A21,$B$2:$B$1561,"&gt;"&amp;B21)+1</f>
        <v>241</v>
      </c>
      <c r="F21" s="16" t="n">
        <f aca="false">IF(A21=A20,C21-C20,"")</f>
        <v>22.4499999999998</v>
      </c>
      <c r="G21" s="16" t="n">
        <f aca="false">IF(A21=A20,IF(F21&gt;0,F21,0),"")</f>
        <v>22.4499999999998</v>
      </c>
      <c r="H21" s="16" t="n">
        <f aca="false">IF(A21=A20,IF(F21&lt;0,-F21,0),"")</f>
        <v>0</v>
      </c>
    </row>
    <row r="22" customFormat="false" ht="15" hidden="false" customHeight="false" outlineLevel="0" collapsed="false">
      <c r="A22" s="14" t="s">
        <v>86</v>
      </c>
      <c r="B22" s="15" t="n">
        <v>45902</v>
      </c>
      <c r="C22" s="14" t="n">
        <v>2365.5</v>
      </c>
      <c r="D22" s="14" t="n">
        <v>926308</v>
      </c>
      <c r="E22" s="16" t="n">
        <f aca="false">COUNTIFS($A$2:$A$1561,A22,$B$2:$B$1561,"&gt;"&amp;B22)+1</f>
        <v>240</v>
      </c>
      <c r="F22" s="16" t="n">
        <f aca="false">IF(A22=A21,C22-C21,"")</f>
        <v>-17.02</v>
      </c>
      <c r="G22" s="16" t="n">
        <f aca="false">IF(A22=A21,IF(F22&gt;0,F22,0),"")</f>
        <v>0</v>
      </c>
      <c r="H22" s="16" t="n">
        <f aca="false">IF(A22=A21,IF(F22&lt;0,-F22,0),"")</f>
        <v>17.02</v>
      </c>
    </row>
    <row r="23" customFormat="false" ht="15" hidden="false" customHeight="false" outlineLevel="0" collapsed="false">
      <c r="A23" s="14" t="s">
        <v>86</v>
      </c>
      <c r="B23" s="15" t="n">
        <v>45903</v>
      </c>
      <c r="C23" s="14" t="n">
        <v>2356.78</v>
      </c>
      <c r="D23" s="14" t="n">
        <v>2366518</v>
      </c>
      <c r="E23" s="16" t="n">
        <f aca="false">COUNTIFS($A$2:$A$1561,A23,$B$2:$B$1561,"&gt;"&amp;B23)+1</f>
        <v>239</v>
      </c>
      <c r="F23" s="16" t="n">
        <f aca="false">IF(A23=A22,C23-C22,"")</f>
        <v>-8.7199999999998</v>
      </c>
      <c r="G23" s="16" t="n">
        <f aca="false">IF(A23=A22,IF(F23&gt;0,F23,0),"")</f>
        <v>0</v>
      </c>
      <c r="H23" s="16" t="n">
        <f aca="false">IF(A23=A22,IF(F23&lt;0,-F23,0),"")</f>
        <v>8.7199999999998</v>
      </c>
    </row>
    <row r="24" customFormat="false" ht="15" hidden="false" customHeight="false" outlineLevel="0" collapsed="false">
      <c r="A24" s="14" t="s">
        <v>86</v>
      </c>
      <c r="B24" s="15" t="n">
        <v>45904</v>
      </c>
      <c r="C24" s="14" t="n">
        <v>2374.21</v>
      </c>
      <c r="D24" s="14" t="n">
        <v>2258540</v>
      </c>
      <c r="E24" s="16" t="n">
        <f aca="false">COUNTIFS($A$2:$A$1561,A24,$B$2:$B$1561,"&gt;"&amp;B24)+1</f>
        <v>238</v>
      </c>
      <c r="F24" s="16" t="n">
        <f aca="false">IF(A24=A23,C24-C23,"")</f>
        <v>17.4299999999998</v>
      </c>
      <c r="G24" s="16" t="n">
        <f aca="false">IF(A24=A23,IF(F24&gt;0,F24,0),"")</f>
        <v>17.4299999999998</v>
      </c>
      <c r="H24" s="16" t="n">
        <f aca="false">IF(A24=A23,IF(F24&lt;0,-F24,0),"")</f>
        <v>0</v>
      </c>
    </row>
    <row r="25" customFormat="false" ht="15" hidden="false" customHeight="false" outlineLevel="0" collapsed="false">
      <c r="A25" s="14" t="s">
        <v>86</v>
      </c>
      <c r="B25" s="15" t="n">
        <v>45905</v>
      </c>
      <c r="C25" s="14" t="n">
        <v>2369.92</v>
      </c>
      <c r="D25" s="14" t="n">
        <v>815493</v>
      </c>
      <c r="E25" s="16" t="n">
        <f aca="false">COUNTIFS($A$2:$A$1561,A25,$B$2:$B$1561,"&gt;"&amp;B25)+1</f>
        <v>237</v>
      </c>
      <c r="F25" s="16" t="n">
        <f aca="false">IF(A25=A24,C25-C24,"")</f>
        <v>-4.28999999999996</v>
      </c>
      <c r="G25" s="16" t="n">
        <f aca="false">IF(A25=A24,IF(F25&gt;0,F25,0),"")</f>
        <v>0</v>
      </c>
      <c r="H25" s="16" t="n">
        <f aca="false">IF(A25=A24,IF(F25&lt;0,-F25,0),"")</f>
        <v>4.28999999999996</v>
      </c>
    </row>
    <row r="26" customFormat="false" ht="15" hidden="false" customHeight="false" outlineLevel="0" collapsed="false">
      <c r="A26" s="14" t="s">
        <v>86</v>
      </c>
      <c r="B26" s="15" t="n">
        <v>45908</v>
      </c>
      <c r="C26" s="14" t="n">
        <v>2385.44</v>
      </c>
      <c r="D26" s="14" t="n">
        <v>1907079</v>
      </c>
      <c r="E26" s="16" t="n">
        <f aca="false">COUNTIFS($A$2:$A$1561,A26,$B$2:$B$1561,"&gt;"&amp;B26)+1</f>
        <v>236</v>
      </c>
      <c r="F26" s="16" t="n">
        <f aca="false">IF(A26=A25,C26-C25,"")</f>
        <v>15.52</v>
      </c>
      <c r="G26" s="16" t="n">
        <f aca="false">IF(A26=A25,IF(F26&gt;0,F26,0),"")</f>
        <v>15.52</v>
      </c>
      <c r="H26" s="16" t="n">
        <f aca="false">IF(A26=A25,IF(F26&lt;0,-F26,0),"")</f>
        <v>0</v>
      </c>
    </row>
    <row r="27" customFormat="false" ht="15" hidden="false" customHeight="false" outlineLevel="0" collapsed="false">
      <c r="A27" s="14" t="s">
        <v>86</v>
      </c>
      <c r="B27" s="15" t="n">
        <v>45909</v>
      </c>
      <c r="C27" s="14" t="n">
        <v>2391.52</v>
      </c>
      <c r="D27" s="14" t="n">
        <v>2474466</v>
      </c>
      <c r="E27" s="16" t="n">
        <f aca="false">COUNTIFS($A$2:$A$1561,A27,$B$2:$B$1561,"&gt;"&amp;B27)+1</f>
        <v>235</v>
      </c>
      <c r="F27" s="16" t="n">
        <f aca="false">IF(A27=A26,C27-C26,"")</f>
        <v>6.07999999999993</v>
      </c>
      <c r="G27" s="16" t="n">
        <f aca="false">IF(A27=A26,IF(F27&gt;0,F27,0),"")</f>
        <v>6.07999999999993</v>
      </c>
      <c r="H27" s="16" t="n">
        <f aca="false">IF(A27=A26,IF(F27&lt;0,-F27,0),"")</f>
        <v>0</v>
      </c>
    </row>
    <row r="28" customFormat="false" ht="15" hidden="false" customHeight="false" outlineLevel="0" collapsed="false">
      <c r="A28" s="14" t="s">
        <v>86</v>
      </c>
      <c r="B28" s="15" t="n">
        <v>45910</v>
      </c>
      <c r="C28" s="14" t="n">
        <v>2399.44</v>
      </c>
      <c r="D28" s="14" t="n">
        <v>515646</v>
      </c>
      <c r="E28" s="16" t="n">
        <f aca="false">COUNTIFS($A$2:$A$1561,A28,$B$2:$B$1561,"&gt;"&amp;B28)+1</f>
        <v>234</v>
      </c>
      <c r="F28" s="16" t="n">
        <f aca="false">IF(A28=A27,C28-C27,"")</f>
        <v>7.92000000000007</v>
      </c>
      <c r="G28" s="16" t="n">
        <f aca="false">IF(A28=A27,IF(F28&gt;0,F28,0),"")</f>
        <v>7.92000000000007</v>
      </c>
      <c r="H28" s="16" t="n">
        <f aca="false">IF(A28=A27,IF(F28&lt;0,-F28,0),"")</f>
        <v>0</v>
      </c>
    </row>
    <row r="29" customFormat="false" ht="15" hidden="false" customHeight="false" outlineLevel="0" collapsed="false">
      <c r="A29" s="14" t="s">
        <v>86</v>
      </c>
      <c r="B29" s="15" t="n">
        <v>45911</v>
      </c>
      <c r="C29" s="14" t="n">
        <v>2414.43</v>
      </c>
      <c r="D29" s="14" t="n">
        <v>1098757</v>
      </c>
      <c r="E29" s="16" t="n">
        <f aca="false">COUNTIFS($A$2:$A$1561,A29,$B$2:$B$1561,"&gt;"&amp;B29)+1</f>
        <v>233</v>
      </c>
      <c r="F29" s="16" t="n">
        <f aca="false">IF(A29=A28,C29-C28,"")</f>
        <v>14.9899999999998</v>
      </c>
      <c r="G29" s="16" t="n">
        <f aca="false">IF(A29=A28,IF(F29&gt;0,F29,0),"")</f>
        <v>14.9899999999998</v>
      </c>
      <c r="H29" s="16" t="n">
        <f aca="false">IF(A29=A28,IF(F29&lt;0,-F29,0),"")</f>
        <v>0</v>
      </c>
    </row>
    <row r="30" customFormat="false" ht="15" hidden="false" customHeight="false" outlineLevel="0" collapsed="false">
      <c r="A30" s="14" t="s">
        <v>86</v>
      </c>
      <c r="B30" s="15" t="n">
        <v>45912</v>
      </c>
      <c r="C30" s="14" t="n">
        <v>2422.83</v>
      </c>
      <c r="D30" s="14" t="n">
        <v>2377860</v>
      </c>
      <c r="E30" s="16" t="n">
        <f aca="false">COUNTIFS($A$2:$A$1561,A30,$B$2:$B$1561,"&gt;"&amp;B30)+1</f>
        <v>232</v>
      </c>
      <c r="F30" s="16" t="n">
        <f aca="false">IF(A30=A29,C30-C29,"")</f>
        <v>8.40000000000009</v>
      </c>
      <c r="G30" s="16" t="n">
        <f aca="false">IF(A30=A29,IF(F30&gt;0,F30,0),"")</f>
        <v>8.40000000000009</v>
      </c>
      <c r="H30" s="16" t="n">
        <f aca="false">IF(A30=A29,IF(F30&lt;0,-F30,0),"")</f>
        <v>0</v>
      </c>
    </row>
    <row r="31" customFormat="false" ht="15" hidden="false" customHeight="false" outlineLevel="0" collapsed="false">
      <c r="A31" s="14" t="s">
        <v>86</v>
      </c>
      <c r="B31" s="15" t="n">
        <v>45915</v>
      </c>
      <c r="C31" s="14" t="n">
        <v>2408.19</v>
      </c>
      <c r="D31" s="14" t="n">
        <v>730857</v>
      </c>
      <c r="E31" s="16" t="n">
        <f aca="false">COUNTIFS($A$2:$A$1561,A31,$B$2:$B$1561,"&gt;"&amp;B31)+1</f>
        <v>231</v>
      </c>
      <c r="F31" s="16" t="n">
        <f aca="false">IF(A31=A30,C31-C30,"")</f>
        <v>-14.6399999999999</v>
      </c>
      <c r="G31" s="16" t="n">
        <f aca="false">IF(A31=A30,IF(F31&gt;0,F31,0),"")</f>
        <v>0</v>
      </c>
      <c r="H31" s="16" t="n">
        <f aca="false">IF(A31=A30,IF(F31&lt;0,-F31,0),"")</f>
        <v>14.6399999999999</v>
      </c>
    </row>
    <row r="32" customFormat="false" ht="15" hidden="false" customHeight="false" outlineLevel="0" collapsed="false">
      <c r="A32" s="14" t="s">
        <v>86</v>
      </c>
      <c r="B32" s="15" t="n">
        <v>45916</v>
      </c>
      <c r="C32" s="14" t="n">
        <v>2392.46</v>
      </c>
      <c r="D32" s="14" t="n">
        <v>1606447</v>
      </c>
      <c r="E32" s="16" t="n">
        <f aca="false">COUNTIFS($A$2:$A$1561,A32,$B$2:$B$1561,"&gt;"&amp;B32)+1</f>
        <v>230</v>
      </c>
      <c r="F32" s="16" t="n">
        <f aca="false">IF(A32=A31,C32-C31,"")</f>
        <v>-15.73</v>
      </c>
      <c r="G32" s="16" t="n">
        <f aca="false">IF(A32=A31,IF(F32&gt;0,F32,0),"")</f>
        <v>0</v>
      </c>
      <c r="H32" s="16" t="n">
        <f aca="false">IF(A32=A31,IF(F32&lt;0,-F32,0),"")</f>
        <v>15.73</v>
      </c>
    </row>
    <row r="33" customFormat="false" ht="15" hidden="false" customHeight="false" outlineLevel="0" collapsed="false">
      <c r="A33" s="14" t="s">
        <v>86</v>
      </c>
      <c r="B33" s="15" t="n">
        <v>45917</v>
      </c>
      <c r="C33" s="14" t="n">
        <v>2383.95</v>
      </c>
      <c r="D33" s="14" t="n">
        <v>1709659</v>
      </c>
      <c r="E33" s="16" t="n">
        <f aca="false">COUNTIFS($A$2:$A$1561,A33,$B$2:$B$1561,"&gt;"&amp;B33)+1</f>
        <v>229</v>
      </c>
      <c r="F33" s="16" t="n">
        <f aca="false">IF(A33=A32,C33-C32,"")</f>
        <v>-8.51000000000022</v>
      </c>
      <c r="G33" s="16" t="n">
        <f aca="false">IF(A33=A32,IF(F33&gt;0,F33,0),"")</f>
        <v>0</v>
      </c>
      <c r="H33" s="16" t="n">
        <f aca="false">IF(A33=A32,IF(F33&lt;0,-F33,0),"")</f>
        <v>8.51000000000022</v>
      </c>
    </row>
    <row r="34" customFormat="false" ht="15" hidden="false" customHeight="false" outlineLevel="0" collapsed="false">
      <c r="A34" s="14" t="s">
        <v>86</v>
      </c>
      <c r="B34" s="15" t="n">
        <v>45918</v>
      </c>
      <c r="C34" s="14" t="n">
        <v>2394.57</v>
      </c>
      <c r="D34" s="14" t="n">
        <v>907194</v>
      </c>
      <c r="E34" s="16" t="n">
        <f aca="false">COUNTIFS($A$2:$A$1561,A34,$B$2:$B$1561,"&gt;"&amp;B34)+1</f>
        <v>228</v>
      </c>
      <c r="F34" s="16" t="n">
        <f aca="false">IF(A34=A33,C34-C33,"")</f>
        <v>10.6200000000003</v>
      </c>
      <c r="G34" s="16" t="n">
        <f aca="false">IF(A34=A33,IF(F34&gt;0,F34,0),"")</f>
        <v>10.6200000000003</v>
      </c>
      <c r="H34" s="16" t="n">
        <f aca="false">IF(A34=A33,IF(F34&lt;0,-F34,0),"")</f>
        <v>0</v>
      </c>
    </row>
    <row r="35" customFormat="false" ht="15" hidden="false" customHeight="false" outlineLevel="0" collapsed="false">
      <c r="A35" s="14" t="s">
        <v>86</v>
      </c>
      <c r="B35" s="15" t="n">
        <v>45919</v>
      </c>
      <c r="C35" s="14" t="n">
        <v>2401.65</v>
      </c>
      <c r="D35" s="14" t="n">
        <v>1027967</v>
      </c>
      <c r="E35" s="16" t="n">
        <f aca="false">COUNTIFS($A$2:$A$1561,A35,$B$2:$B$1561,"&gt;"&amp;B35)+1</f>
        <v>227</v>
      </c>
      <c r="F35" s="16" t="n">
        <f aca="false">IF(A35=A34,C35-C34,"")</f>
        <v>7.07999999999993</v>
      </c>
      <c r="G35" s="16" t="n">
        <f aca="false">IF(A35=A34,IF(F35&gt;0,F35,0),"")</f>
        <v>7.07999999999993</v>
      </c>
      <c r="H35" s="16" t="n">
        <f aca="false">IF(A35=A34,IF(F35&lt;0,-F35,0),"")</f>
        <v>0</v>
      </c>
    </row>
    <row r="36" customFormat="false" ht="15" hidden="false" customHeight="false" outlineLevel="0" collapsed="false">
      <c r="A36" s="14" t="s">
        <v>86</v>
      </c>
      <c r="B36" s="15" t="n">
        <v>45922</v>
      </c>
      <c r="C36" s="14" t="n">
        <v>2402.45</v>
      </c>
      <c r="D36" s="14" t="n">
        <v>2310672</v>
      </c>
      <c r="E36" s="16" t="n">
        <f aca="false">COUNTIFS($A$2:$A$1561,A36,$B$2:$B$1561,"&gt;"&amp;B36)+1</f>
        <v>226</v>
      </c>
      <c r="F36" s="16" t="n">
        <f aca="false">IF(A36=A35,C36-C35,"")</f>
        <v>0.799999999999727</v>
      </c>
      <c r="G36" s="16" t="n">
        <f aca="false">IF(A36=A35,IF(F36&gt;0,F36,0),"")</f>
        <v>0.799999999999727</v>
      </c>
      <c r="H36" s="16" t="n">
        <f aca="false">IF(A36=A35,IF(F36&lt;0,-F36,0),"")</f>
        <v>0</v>
      </c>
    </row>
    <row r="37" customFormat="false" ht="15" hidden="false" customHeight="false" outlineLevel="0" collapsed="false">
      <c r="A37" s="14" t="s">
        <v>86</v>
      </c>
      <c r="B37" s="15" t="n">
        <v>45923</v>
      </c>
      <c r="C37" s="14" t="n">
        <v>2418.72</v>
      </c>
      <c r="D37" s="14" t="n">
        <v>684596</v>
      </c>
      <c r="E37" s="16" t="n">
        <f aca="false">COUNTIFS($A$2:$A$1561,A37,$B$2:$B$1561,"&gt;"&amp;B37)+1</f>
        <v>225</v>
      </c>
      <c r="F37" s="16" t="n">
        <f aca="false">IF(A37=A36,C37-C36,"")</f>
        <v>16.27</v>
      </c>
      <c r="G37" s="16" t="n">
        <f aca="false">IF(A37=A36,IF(F37&gt;0,F37,0),"")</f>
        <v>16.27</v>
      </c>
      <c r="H37" s="16" t="n">
        <f aca="false">IF(A37=A36,IF(F37&lt;0,-F37,0),"")</f>
        <v>0</v>
      </c>
    </row>
    <row r="38" customFormat="false" ht="15" hidden="false" customHeight="false" outlineLevel="0" collapsed="false">
      <c r="A38" s="14" t="s">
        <v>86</v>
      </c>
      <c r="B38" s="15" t="n">
        <v>45924</v>
      </c>
      <c r="C38" s="14" t="n">
        <v>2416.7</v>
      </c>
      <c r="D38" s="14" t="n">
        <v>1053360</v>
      </c>
      <c r="E38" s="16" t="n">
        <f aca="false">COUNTIFS($A$2:$A$1561,A38,$B$2:$B$1561,"&gt;"&amp;B38)+1</f>
        <v>224</v>
      </c>
      <c r="F38" s="16" t="n">
        <f aca="false">IF(A38=A37,C38-C37,"")</f>
        <v>-2.01999999999998</v>
      </c>
      <c r="G38" s="16" t="n">
        <f aca="false">IF(A38=A37,IF(F38&gt;0,F38,0),"")</f>
        <v>0</v>
      </c>
      <c r="H38" s="16" t="n">
        <f aca="false">IF(A38=A37,IF(F38&lt;0,-F38,0),"")</f>
        <v>2.01999999999998</v>
      </c>
    </row>
    <row r="39" customFormat="false" ht="15" hidden="false" customHeight="false" outlineLevel="0" collapsed="false">
      <c r="A39" s="14" t="s">
        <v>86</v>
      </c>
      <c r="B39" s="15" t="n">
        <v>45925</v>
      </c>
      <c r="C39" s="14" t="n">
        <v>2396.41</v>
      </c>
      <c r="D39" s="14" t="n">
        <v>2042238</v>
      </c>
      <c r="E39" s="16" t="n">
        <f aca="false">COUNTIFS($A$2:$A$1561,A39,$B$2:$B$1561,"&gt;"&amp;B39)+1</f>
        <v>223</v>
      </c>
      <c r="F39" s="16" t="n">
        <f aca="false">IF(A39=A38,C39-C38,"")</f>
        <v>-20.29</v>
      </c>
      <c r="G39" s="16" t="n">
        <f aca="false">IF(A39=A38,IF(F39&gt;0,F39,0),"")</f>
        <v>0</v>
      </c>
      <c r="H39" s="16" t="n">
        <f aca="false">IF(A39=A38,IF(F39&lt;0,-F39,0),"")</f>
        <v>20.29</v>
      </c>
    </row>
    <row r="40" customFormat="false" ht="15" hidden="false" customHeight="false" outlineLevel="0" collapsed="false">
      <c r="A40" s="14" t="s">
        <v>86</v>
      </c>
      <c r="B40" s="15" t="n">
        <v>45926</v>
      </c>
      <c r="C40" s="14" t="n">
        <v>2403.61</v>
      </c>
      <c r="D40" s="14" t="n">
        <v>1023910</v>
      </c>
      <c r="E40" s="16" t="n">
        <f aca="false">COUNTIFS($A$2:$A$1561,A40,$B$2:$B$1561,"&gt;"&amp;B40)+1</f>
        <v>222</v>
      </c>
      <c r="F40" s="16" t="n">
        <f aca="false">IF(A40=A39,C40-C39,"")</f>
        <v>7.20000000000027</v>
      </c>
      <c r="G40" s="16" t="n">
        <f aca="false">IF(A40=A39,IF(F40&gt;0,F40,0),"")</f>
        <v>7.20000000000027</v>
      </c>
      <c r="H40" s="16" t="n">
        <f aca="false">IF(A40=A39,IF(F40&lt;0,-F40,0),"")</f>
        <v>0</v>
      </c>
    </row>
    <row r="41" customFormat="false" ht="15" hidden="false" customHeight="false" outlineLevel="0" collapsed="false">
      <c r="A41" s="14" t="s">
        <v>86</v>
      </c>
      <c r="B41" s="15" t="n">
        <v>45929</v>
      </c>
      <c r="C41" s="14" t="n">
        <v>2415.35</v>
      </c>
      <c r="D41" s="14" t="n">
        <v>1603360</v>
      </c>
      <c r="E41" s="16" t="n">
        <f aca="false">COUNTIFS($A$2:$A$1561,A41,$B$2:$B$1561,"&gt;"&amp;B41)+1</f>
        <v>221</v>
      </c>
      <c r="F41" s="16" t="n">
        <f aca="false">IF(A41=A40,C41-C40,"")</f>
        <v>11.7399999999998</v>
      </c>
      <c r="G41" s="16" t="n">
        <f aca="false">IF(A41=A40,IF(F41&gt;0,F41,0),"")</f>
        <v>11.7399999999998</v>
      </c>
      <c r="H41" s="16" t="n">
        <f aca="false">IF(A41=A40,IF(F41&lt;0,-F41,0),"")</f>
        <v>0</v>
      </c>
    </row>
    <row r="42" customFormat="false" ht="15" hidden="false" customHeight="false" outlineLevel="0" collapsed="false">
      <c r="A42" s="14" t="s">
        <v>86</v>
      </c>
      <c r="B42" s="15" t="n">
        <v>45930</v>
      </c>
      <c r="C42" s="14" t="n">
        <v>2413.51</v>
      </c>
      <c r="D42" s="14" t="n">
        <v>519339</v>
      </c>
      <c r="E42" s="16" t="n">
        <f aca="false">COUNTIFS($A$2:$A$1561,A42,$B$2:$B$1561,"&gt;"&amp;B42)+1</f>
        <v>220</v>
      </c>
      <c r="F42" s="16" t="n">
        <f aca="false">IF(A42=A41,C42-C41,"")</f>
        <v>-1.83999999999969</v>
      </c>
      <c r="G42" s="16" t="n">
        <f aca="false">IF(A42=A41,IF(F42&gt;0,F42,0),"")</f>
        <v>0</v>
      </c>
      <c r="H42" s="16" t="n">
        <f aca="false">IF(A42=A41,IF(F42&lt;0,-F42,0),"")</f>
        <v>1.83999999999969</v>
      </c>
    </row>
    <row r="43" customFormat="false" ht="15" hidden="false" customHeight="false" outlineLevel="0" collapsed="false">
      <c r="A43" s="14" t="s">
        <v>86</v>
      </c>
      <c r="B43" s="15" t="n">
        <v>45931</v>
      </c>
      <c r="C43" s="14" t="n">
        <v>2396.36</v>
      </c>
      <c r="D43" s="14" t="n">
        <v>2266212</v>
      </c>
      <c r="E43" s="16" t="n">
        <f aca="false">COUNTIFS($A$2:$A$1561,A43,$B$2:$B$1561,"&gt;"&amp;B43)+1</f>
        <v>219</v>
      </c>
      <c r="F43" s="16" t="n">
        <f aca="false">IF(A43=A42,C43-C42,"")</f>
        <v>-17.1500000000001</v>
      </c>
      <c r="G43" s="16" t="n">
        <f aca="false">IF(A43=A42,IF(F43&gt;0,F43,0),"")</f>
        <v>0</v>
      </c>
      <c r="H43" s="16" t="n">
        <f aca="false">IF(A43=A42,IF(F43&lt;0,-F43,0),"")</f>
        <v>17.1500000000001</v>
      </c>
    </row>
    <row r="44" customFormat="false" ht="15" hidden="false" customHeight="false" outlineLevel="0" collapsed="false">
      <c r="A44" s="14" t="s">
        <v>86</v>
      </c>
      <c r="B44" s="15" t="n">
        <v>45932</v>
      </c>
      <c r="C44" s="14" t="n">
        <v>2415.08</v>
      </c>
      <c r="D44" s="14" t="n">
        <v>1591180</v>
      </c>
      <c r="E44" s="16" t="n">
        <f aca="false">COUNTIFS($A$2:$A$1561,A44,$B$2:$B$1561,"&gt;"&amp;B44)+1</f>
        <v>218</v>
      </c>
      <c r="F44" s="16" t="n">
        <f aca="false">IF(A44=A43,C44-C43,"")</f>
        <v>18.7199999999998</v>
      </c>
      <c r="G44" s="16" t="n">
        <f aca="false">IF(A44=A43,IF(F44&gt;0,F44,0),"")</f>
        <v>18.7199999999998</v>
      </c>
      <c r="H44" s="16" t="n">
        <f aca="false">IF(A44=A43,IF(F44&lt;0,-F44,0),"")</f>
        <v>0</v>
      </c>
    </row>
    <row r="45" customFormat="false" ht="15" hidden="false" customHeight="false" outlineLevel="0" collapsed="false">
      <c r="A45" s="14" t="s">
        <v>86</v>
      </c>
      <c r="B45" s="15" t="n">
        <v>45933</v>
      </c>
      <c r="C45" s="14" t="n">
        <v>2430.93</v>
      </c>
      <c r="D45" s="14" t="n">
        <v>1665019</v>
      </c>
      <c r="E45" s="16" t="n">
        <f aca="false">COUNTIFS($A$2:$A$1561,A45,$B$2:$B$1561,"&gt;"&amp;B45)+1</f>
        <v>217</v>
      </c>
      <c r="F45" s="16" t="n">
        <f aca="false">IF(A45=A44,C45-C44,"")</f>
        <v>15.8499999999999</v>
      </c>
      <c r="G45" s="16" t="n">
        <f aca="false">IF(A45=A44,IF(F45&gt;0,F45,0),"")</f>
        <v>15.8499999999999</v>
      </c>
      <c r="H45" s="16" t="n">
        <f aca="false">IF(A45=A44,IF(F45&lt;0,-F45,0),"")</f>
        <v>0</v>
      </c>
    </row>
    <row r="46" customFormat="false" ht="15" hidden="false" customHeight="false" outlineLevel="0" collapsed="false">
      <c r="A46" s="14" t="s">
        <v>86</v>
      </c>
      <c r="B46" s="15" t="n">
        <v>45936</v>
      </c>
      <c r="C46" s="14" t="n">
        <v>2416.84</v>
      </c>
      <c r="D46" s="14" t="n">
        <v>754891</v>
      </c>
      <c r="E46" s="16" t="n">
        <f aca="false">COUNTIFS($A$2:$A$1561,A46,$B$2:$B$1561,"&gt;"&amp;B46)+1</f>
        <v>216</v>
      </c>
      <c r="F46" s="16" t="n">
        <f aca="false">IF(A46=A45,C46-C45,"")</f>
        <v>-14.0899999999997</v>
      </c>
      <c r="G46" s="16" t="n">
        <f aca="false">IF(A46=A45,IF(F46&gt;0,F46,0),"")</f>
        <v>0</v>
      </c>
      <c r="H46" s="16" t="n">
        <f aca="false">IF(A46=A45,IF(F46&lt;0,-F46,0),"")</f>
        <v>14.0899999999997</v>
      </c>
    </row>
    <row r="47" customFormat="false" ht="15" hidden="false" customHeight="false" outlineLevel="0" collapsed="false">
      <c r="A47" s="14" t="s">
        <v>86</v>
      </c>
      <c r="B47" s="15" t="n">
        <v>45937</v>
      </c>
      <c r="C47" s="14" t="n">
        <v>2409.81</v>
      </c>
      <c r="D47" s="14" t="n">
        <v>2297962</v>
      </c>
      <c r="E47" s="16" t="n">
        <f aca="false">COUNTIFS($A$2:$A$1561,A47,$B$2:$B$1561,"&gt;"&amp;B47)+1</f>
        <v>215</v>
      </c>
      <c r="F47" s="16" t="n">
        <f aca="false">IF(A47=A46,C47-C46,"")</f>
        <v>-7.0300000000002</v>
      </c>
      <c r="G47" s="16" t="n">
        <f aca="false">IF(A47=A46,IF(F47&gt;0,F47,0),"")</f>
        <v>0</v>
      </c>
      <c r="H47" s="16" t="n">
        <f aca="false">IF(A47=A46,IF(F47&lt;0,-F47,0),"")</f>
        <v>7.0300000000002</v>
      </c>
    </row>
    <row r="48" customFormat="false" ht="15" hidden="false" customHeight="false" outlineLevel="0" collapsed="false">
      <c r="A48" s="14" t="s">
        <v>86</v>
      </c>
      <c r="B48" s="15" t="n">
        <v>45938</v>
      </c>
      <c r="C48" s="14" t="n">
        <v>2423.95</v>
      </c>
      <c r="D48" s="14" t="n">
        <v>2221405</v>
      </c>
      <c r="E48" s="16" t="n">
        <f aca="false">COUNTIFS($A$2:$A$1561,A48,$B$2:$B$1561,"&gt;"&amp;B48)+1</f>
        <v>214</v>
      </c>
      <c r="F48" s="16" t="n">
        <f aca="false">IF(A48=A47,C48-C47,"")</f>
        <v>14.1399999999999</v>
      </c>
      <c r="G48" s="16" t="n">
        <f aca="false">IF(A48=A47,IF(F48&gt;0,F48,0),"")</f>
        <v>14.1399999999999</v>
      </c>
      <c r="H48" s="16" t="n">
        <f aca="false">IF(A48=A47,IF(F48&lt;0,-F48,0),"")</f>
        <v>0</v>
      </c>
    </row>
    <row r="49" customFormat="false" ht="15" hidden="false" customHeight="false" outlineLevel="0" collapsed="false">
      <c r="A49" s="14" t="s">
        <v>86</v>
      </c>
      <c r="B49" s="15" t="n">
        <v>45939</v>
      </c>
      <c r="C49" s="14" t="n">
        <v>2442.67</v>
      </c>
      <c r="D49" s="14" t="n">
        <v>920153</v>
      </c>
      <c r="E49" s="16" t="n">
        <f aca="false">COUNTIFS($A$2:$A$1561,A49,$B$2:$B$1561,"&gt;"&amp;B49)+1</f>
        <v>213</v>
      </c>
      <c r="F49" s="16" t="n">
        <f aca="false">IF(A49=A48,C49-C48,"")</f>
        <v>18.7200000000003</v>
      </c>
      <c r="G49" s="16" t="n">
        <f aca="false">IF(A49=A48,IF(F49&gt;0,F49,0),"")</f>
        <v>18.7200000000003</v>
      </c>
      <c r="H49" s="16" t="n">
        <f aca="false">IF(A49=A48,IF(F49&lt;0,-F49,0),"")</f>
        <v>0</v>
      </c>
    </row>
    <row r="50" customFormat="false" ht="15" hidden="false" customHeight="false" outlineLevel="0" collapsed="false">
      <c r="A50" s="14" t="s">
        <v>86</v>
      </c>
      <c r="B50" s="15" t="n">
        <v>45940</v>
      </c>
      <c r="C50" s="14" t="n">
        <v>2432.97</v>
      </c>
      <c r="D50" s="14" t="n">
        <v>705587</v>
      </c>
      <c r="E50" s="16" t="n">
        <f aca="false">COUNTIFS($A$2:$A$1561,A50,$B$2:$B$1561,"&gt;"&amp;B50)+1</f>
        <v>212</v>
      </c>
      <c r="F50" s="16" t="n">
        <f aca="false">IF(A50=A49,C50-C49,"")</f>
        <v>-9.70000000000027</v>
      </c>
      <c r="G50" s="16" t="n">
        <f aca="false">IF(A50=A49,IF(F50&gt;0,F50,0),"")</f>
        <v>0</v>
      </c>
      <c r="H50" s="16" t="n">
        <f aca="false">IF(A50=A49,IF(F50&lt;0,-F50,0),"")</f>
        <v>9.70000000000027</v>
      </c>
    </row>
    <row r="51" customFormat="false" ht="15" hidden="false" customHeight="false" outlineLevel="0" collapsed="false">
      <c r="A51" s="14" t="s">
        <v>86</v>
      </c>
      <c r="B51" s="15" t="n">
        <v>45943</v>
      </c>
      <c r="C51" s="14" t="n">
        <v>2446.55</v>
      </c>
      <c r="D51" s="14" t="n">
        <v>2268269</v>
      </c>
      <c r="E51" s="16" t="n">
        <f aca="false">COUNTIFS($A$2:$A$1561,A51,$B$2:$B$1561,"&gt;"&amp;B51)+1</f>
        <v>211</v>
      </c>
      <c r="F51" s="16" t="n">
        <f aca="false">IF(A51=A50,C51-C50,"")</f>
        <v>13.5800000000004</v>
      </c>
      <c r="G51" s="16" t="n">
        <f aca="false">IF(A51=A50,IF(F51&gt;0,F51,0),"")</f>
        <v>13.5800000000004</v>
      </c>
      <c r="H51" s="16" t="n">
        <f aca="false">IF(A51=A50,IF(F51&lt;0,-F51,0),"")</f>
        <v>0</v>
      </c>
    </row>
    <row r="52" customFormat="false" ht="15" hidden="false" customHeight="false" outlineLevel="0" collapsed="false">
      <c r="A52" s="14" t="s">
        <v>86</v>
      </c>
      <c r="B52" s="15" t="n">
        <v>45944</v>
      </c>
      <c r="C52" s="14" t="n">
        <v>2443.75</v>
      </c>
      <c r="D52" s="14" t="n">
        <v>1741323</v>
      </c>
      <c r="E52" s="16" t="n">
        <f aca="false">COUNTIFS($A$2:$A$1561,A52,$B$2:$B$1561,"&gt;"&amp;B52)+1</f>
        <v>210</v>
      </c>
      <c r="F52" s="16" t="n">
        <f aca="false">IF(A52=A51,C52-C51,"")</f>
        <v>-2.80000000000018</v>
      </c>
      <c r="G52" s="16" t="n">
        <f aca="false">IF(A52=A51,IF(F52&gt;0,F52,0),"")</f>
        <v>0</v>
      </c>
      <c r="H52" s="16" t="n">
        <f aca="false">IF(A52=A51,IF(F52&lt;0,-F52,0),"")</f>
        <v>2.80000000000018</v>
      </c>
    </row>
    <row r="53" customFormat="false" ht="15" hidden="false" customHeight="false" outlineLevel="0" collapsed="false">
      <c r="A53" s="14" t="s">
        <v>86</v>
      </c>
      <c r="B53" s="15" t="n">
        <v>45945</v>
      </c>
      <c r="C53" s="14" t="n">
        <v>2429.88</v>
      </c>
      <c r="D53" s="14" t="n">
        <v>2359762</v>
      </c>
      <c r="E53" s="16" t="n">
        <f aca="false">COUNTIFS($A$2:$A$1561,A53,$B$2:$B$1561,"&gt;"&amp;B53)+1</f>
        <v>209</v>
      </c>
      <c r="F53" s="16" t="n">
        <f aca="false">IF(A53=A52,C53-C52,"")</f>
        <v>-13.8699999999999</v>
      </c>
      <c r="G53" s="16" t="n">
        <f aca="false">IF(A53=A52,IF(F53&gt;0,F53,0),"")</f>
        <v>0</v>
      </c>
      <c r="H53" s="16" t="n">
        <f aca="false">IF(A53=A52,IF(F53&lt;0,-F53,0),"")</f>
        <v>13.8699999999999</v>
      </c>
    </row>
    <row r="54" customFormat="false" ht="15" hidden="false" customHeight="false" outlineLevel="0" collapsed="false">
      <c r="A54" s="14" t="s">
        <v>86</v>
      </c>
      <c r="B54" s="15" t="n">
        <v>45946</v>
      </c>
      <c r="C54" s="14" t="n">
        <v>2447.13</v>
      </c>
      <c r="D54" s="14" t="n">
        <v>2452412</v>
      </c>
      <c r="E54" s="16" t="n">
        <f aca="false">COUNTIFS($A$2:$A$1561,A54,$B$2:$B$1561,"&gt;"&amp;B54)+1</f>
        <v>208</v>
      </c>
      <c r="F54" s="16" t="n">
        <f aca="false">IF(A54=A53,C54-C53,"")</f>
        <v>17.25</v>
      </c>
      <c r="G54" s="16" t="n">
        <f aca="false">IF(A54=A53,IF(F54&gt;0,F54,0),"")</f>
        <v>17.25</v>
      </c>
      <c r="H54" s="16" t="n">
        <f aca="false">IF(A54=A53,IF(F54&lt;0,-F54,0),"")</f>
        <v>0</v>
      </c>
    </row>
    <row r="55" customFormat="false" ht="15" hidden="false" customHeight="false" outlineLevel="0" collapsed="false">
      <c r="A55" s="14" t="s">
        <v>86</v>
      </c>
      <c r="B55" s="15" t="n">
        <v>45947</v>
      </c>
      <c r="C55" s="14" t="n">
        <v>2462.15</v>
      </c>
      <c r="D55" s="14" t="n">
        <v>2262832</v>
      </c>
      <c r="E55" s="16" t="n">
        <f aca="false">COUNTIFS($A$2:$A$1561,A55,$B$2:$B$1561,"&gt;"&amp;B55)+1</f>
        <v>207</v>
      </c>
      <c r="F55" s="16" t="n">
        <f aca="false">IF(A55=A54,C55-C54,"")</f>
        <v>15.02</v>
      </c>
      <c r="G55" s="16" t="n">
        <f aca="false">IF(A55=A54,IF(F55&gt;0,F55,0),"")</f>
        <v>15.02</v>
      </c>
      <c r="H55" s="16" t="n">
        <f aca="false">IF(A55=A54,IF(F55&lt;0,-F55,0),"")</f>
        <v>0</v>
      </c>
    </row>
    <row r="56" customFormat="false" ht="15" hidden="false" customHeight="false" outlineLevel="0" collapsed="false">
      <c r="A56" s="14" t="s">
        <v>86</v>
      </c>
      <c r="B56" s="15" t="n">
        <v>45950</v>
      </c>
      <c r="C56" s="14" t="n">
        <v>2442.41</v>
      </c>
      <c r="D56" s="14" t="n">
        <v>1973128</v>
      </c>
      <c r="E56" s="16" t="n">
        <f aca="false">COUNTIFS($A$2:$A$1561,A56,$B$2:$B$1561,"&gt;"&amp;B56)+1</f>
        <v>206</v>
      </c>
      <c r="F56" s="16" t="n">
        <f aca="false">IF(A56=A55,C56-C55,"")</f>
        <v>-19.7400000000002</v>
      </c>
      <c r="G56" s="16" t="n">
        <f aca="false">IF(A56=A55,IF(F56&gt;0,F56,0),"")</f>
        <v>0</v>
      </c>
      <c r="H56" s="16" t="n">
        <f aca="false">IF(A56=A55,IF(F56&lt;0,-F56,0),"")</f>
        <v>19.7400000000002</v>
      </c>
    </row>
    <row r="57" customFormat="false" ht="15" hidden="false" customHeight="false" outlineLevel="0" collapsed="false">
      <c r="A57" s="14" t="s">
        <v>86</v>
      </c>
      <c r="B57" s="15" t="n">
        <v>45951</v>
      </c>
      <c r="C57" s="14" t="n">
        <v>2436.36</v>
      </c>
      <c r="D57" s="14" t="n">
        <v>2361631</v>
      </c>
      <c r="E57" s="16" t="n">
        <f aca="false">COUNTIFS($A$2:$A$1561,A57,$B$2:$B$1561,"&gt;"&amp;B57)+1</f>
        <v>205</v>
      </c>
      <c r="F57" s="16" t="n">
        <f aca="false">IF(A57=A56,C57-C56,"")</f>
        <v>-6.04999999999973</v>
      </c>
      <c r="G57" s="16" t="n">
        <f aca="false">IF(A57=A56,IF(F57&gt;0,F57,0),"")</f>
        <v>0</v>
      </c>
      <c r="H57" s="16" t="n">
        <f aca="false">IF(A57=A56,IF(F57&lt;0,-F57,0),"")</f>
        <v>6.04999999999973</v>
      </c>
    </row>
    <row r="58" customFormat="false" ht="15" hidden="false" customHeight="false" outlineLevel="0" collapsed="false">
      <c r="A58" s="14" t="s">
        <v>86</v>
      </c>
      <c r="B58" s="15" t="n">
        <v>45952</v>
      </c>
      <c r="C58" s="14" t="n">
        <v>2450.92</v>
      </c>
      <c r="D58" s="14" t="n">
        <v>2228128</v>
      </c>
      <c r="E58" s="16" t="n">
        <f aca="false">COUNTIFS($A$2:$A$1561,A58,$B$2:$B$1561,"&gt;"&amp;B58)+1</f>
        <v>204</v>
      </c>
      <c r="F58" s="16" t="n">
        <f aca="false">IF(A58=A57,C58-C57,"")</f>
        <v>14.5599999999999</v>
      </c>
      <c r="G58" s="16" t="n">
        <f aca="false">IF(A58=A57,IF(F58&gt;0,F58,0),"")</f>
        <v>14.5599999999999</v>
      </c>
      <c r="H58" s="16" t="n">
        <f aca="false">IF(A58=A57,IF(F58&lt;0,-F58,0),"")</f>
        <v>0</v>
      </c>
    </row>
    <row r="59" customFormat="false" ht="15" hidden="false" customHeight="false" outlineLevel="0" collapsed="false">
      <c r="A59" s="14" t="s">
        <v>86</v>
      </c>
      <c r="B59" s="15" t="n">
        <v>45953</v>
      </c>
      <c r="C59" s="14" t="n">
        <v>2465.96</v>
      </c>
      <c r="D59" s="14" t="n">
        <v>1033611</v>
      </c>
      <c r="E59" s="16" t="n">
        <f aca="false">COUNTIFS($A$2:$A$1561,A59,$B$2:$B$1561,"&gt;"&amp;B59)+1</f>
        <v>203</v>
      </c>
      <c r="F59" s="16" t="n">
        <f aca="false">IF(A59=A58,C59-C58,"")</f>
        <v>15.04</v>
      </c>
      <c r="G59" s="16" t="n">
        <f aca="false">IF(A59=A58,IF(F59&gt;0,F59,0),"")</f>
        <v>15.04</v>
      </c>
      <c r="H59" s="16" t="n">
        <f aca="false">IF(A59=A58,IF(F59&lt;0,-F59,0),"")</f>
        <v>0</v>
      </c>
    </row>
    <row r="60" customFormat="false" ht="15" hidden="false" customHeight="false" outlineLevel="0" collapsed="false">
      <c r="A60" s="14" t="s">
        <v>86</v>
      </c>
      <c r="B60" s="15" t="n">
        <v>45954</v>
      </c>
      <c r="C60" s="14" t="n">
        <v>2480.05</v>
      </c>
      <c r="D60" s="14" t="n">
        <v>716191</v>
      </c>
      <c r="E60" s="16" t="n">
        <f aca="false">COUNTIFS($A$2:$A$1561,A60,$B$2:$B$1561,"&gt;"&amp;B60)+1</f>
        <v>202</v>
      </c>
      <c r="F60" s="16" t="n">
        <f aca="false">IF(A60=A59,C60-C59,"")</f>
        <v>14.0900000000001</v>
      </c>
      <c r="G60" s="16" t="n">
        <f aca="false">IF(A60=A59,IF(F60&gt;0,F60,0),"")</f>
        <v>14.0900000000001</v>
      </c>
      <c r="H60" s="16" t="n">
        <f aca="false">IF(A60=A59,IF(F60&lt;0,-F60,0),"")</f>
        <v>0</v>
      </c>
    </row>
    <row r="61" customFormat="false" ht="15" hidden="false" customHeight="false" outlineLevel="0" collapsed="false">
      <c r="A61" s="14" t="s">
        <v>86</v>
      </c>
      <c r="B61" s="15" t="n">
        <v>45957</v>
      </c>
      <c r="C61" s="14" t="n">
        <v>2498</v>
      </c>
      <c r="D61" s="14" t="n">
        <v>2217186</v>
      </c>
      <c r="E61" s="16" t="n">
        <f aca="false">COUNTIFS($A$2:$A$1561,A61,$B$2:$B$1561,"&gt;"&amp;B61)+1</f>
        <v>201</v>
      </c>
      <c r="F61" s="16" t="n">
        <f aca="false">IF(A61=A60,C61-C60,"")</f>
        <v>17.9499999999998</v>
      </c>
      <c r="G61" s="16" t="n">
        <f aca="false">IF(A61=A60,IF(F61&gt;0,F61,0),"")</f>
        <v>17.9499999999998</v>
      </c>
      <c r="H61" s="16" t="n">
        <f aca="false">IF(A61=A60,IF(F61&lt;0,-F61,0),"")</f>
        <v>0</v>
      </c>
    </row>
    <row r="62" customFormat="false" ht="15" hidden="false" customHeight="false" outlineLevel="0" collapsed="false">
      <c r="A62" s="14" t="s">
        <v>86</v>
      </c>
      <c r="B62" s="15" t="n">
        <v>45958</v>
      </c>
      <c r="C62" s="14" t="n">
        <v>2486.87</v>
      </c>
      <c r="D62" s="14" t="n">
        <v>2133173</v>
      </c>
      <c r="E62" s="16" t="n">
        <f aca="false">COUNTIFS($A$2:$A$1561,A62,$B$2:$B$1561,"&gt;"&amp;B62)+1</f>
        <v>200</v>
      </c>
      <c r="F62" s="16" t="n">
        <f aca="false">IF(A62=A61,C62-C61,"")</f>
        <v>-11.1300000000001</v>
      </c>
      <c r="G62" s="16" t="n">
        <f aca="false">IF(A62=A61,IF(F62&gt;0,F62,0),"")</f>
        <v>0</v>
      </c>
      <c r="H62" s="16" t="n">
        <f aca="false">IF(A62=A61,IF(F62&lt;0,-F62,0),"")</f>
        <v>11.1300000000001</v>
      </c>
    </row>
    <row r="63" customFormat="false" ht="15" hidden="false" customHeight="false" outlineLevel="0" collapsed="false">
      <c r="A63" s="14" t="s">
        <v>86</v>
      </c>
      <c r="B63" s="15" t="n">
        <v>45959</v>
      </c>
      <c r="C63" s="14" t="n">
        <v>2486.43</v>
      </c>
      <c r="D63" s="14" t="n">
        <v>1110381</v>
      </c>
      <c r="E63" s="16" t="n">
        <f aca="false">COUNTIFS($A$2:$A$1561,A63,$B$2:$B$1561,"&gt;"&amp;B63)+1</f>
        <v>199</v>
      </c>
      <c r="F63" s="16" t="n">
        <f aca="false">IF(A63=A62,C63-C62,"")</f>
        <v>-0.440000000000055</v>
      </c>
      <c r="G63" s="16" t="n">
        <f aca="false">IF(A63=A62,IF(F63&gt;0,F63,0),"")</f>
        <v>0</v>
      </c>
      <c r="H63" s="16" t="n">
        <f aca="false">IF(A63=A62,IF(F63&lt;0,-F63,0),"")</f>
        <v>0.440000000000055</v>
      </c>
    </row>
    <row r="64" customFormat="false" ht="15" hidden="false" customHeight="false" outlineLevel="0" collapsed="false">
      <c r="A64" s="14" t="s">
        <v>86</v>
      </c>
      <c r="B64" s="15" t="n">
        <v>45960</v>
      </c>
      <c r="C64" s="14" t="n">
        <v>2500.99</v>
      </c>
      <c r="D64" s="14" t="n">
        <v>955190</v>
      </c>
      <c r="E64" s="16" t="n">
        <f aca="false">COUNTIFS($A$2:$A$1561,A64,$B$2:$B$1561,"&gt;"&amp;B64)+1</f>
        <v>198</v>
      </c>
      <c r="F64" s="16" t="n">
        <f aca="false">IF(A64=A63,C64-C63,"")</f>
        <v>14.5599999999999</v>
      </c>
      <c r="G64" s="16" t="n">
        <f aca="false">IF(A64=A63,IF(F64&gt;0,F64,0),"")</f>
        <v>14.5599999999999</v>
      </c>
      <c r="H64" s="16" t="n">
        <f aca="false">IF(A64=A63,IF(F64&lt;0,-F64,0),"")</f>
        <v>0</v>
      </c>
    </row>
    <row r="65" customFormat="false" ht="15" hidden="false" customHeight="false" outlineLevel="0" collapsed="false">
      <c r="A65" s="14" t="s">
        <v>86</v>
      </c>
      <c r="B65" s="15" t="n">
        <v>45961</v>
      </c>
      <c r="C65" s="14" t="n">
        <v>2480.9</v>
      </c>
      <c r="D65" s="14" t="n">
        <v>886259</v>
      </c>
      <c r="E65" s="16" t="n">
        <f aca="false">COUNTIFS($A$2:$A$1561,A65,$B$2:$B$1561,"&gt;"&amp;B65)+1</f>
        <v>197</v>
      </c>
      <c r="F65" s="16" t="n">
        <f aca="false">IF(A65=A64,C65-C64,"")</f>
        <v>-20.0899999999997</v>
      </c>
      <c r="G65" s="16" t="n">
        <f aca="false">IF(A65=A64,IF(F65&gt;0,F65,0),"")</f>
        <v>0</v>
      </c>
      <c r="H65" s="16" t="n">
        <f aca="false">IF(A65=A64,IF(F65&lt;0,-F65,0),"")</f>
        <v>20.0899999999997</v>
      </c>
    </row>
    <row r="66" customFormat="false" ht="15" hidden="false" customHeight="false" outlineLevel="0" collapsed="false">
      <c r="A66" s="14" t="s">
        <v>86</v>
      </c>
      <c r="B66" s="15" t="n">
        <v>45964</v>
      </c>
      <c r="C66" s="14" t="n">
        <v>2474.57</v>
      </c>
      <c r="D66" s="14" t="n">
        <v>2228705</v>
      </c>
      <c r="E66" s="16" t="n">
        <f aca="false">COUNTIFS($A$2:$A$1561,A66,$B$2:$B$1561,"&gt;"&amp;B66)+1</f>
        <v>196</v>
      </c>
      <c r="F66" s="16" t="n">
        <f aca="false">IF(A66=A65,C66-C65,"")</f>
        <v>-6.32999999999993</v>
      </c>
      <c r="G66" s="16" t="n">
        <f aca="false">IF(A66=A65,IF(F66&gt;0,F66,0),"")</f>
        <v>0</v>
      </c>
      <c r="H66" s="16" t="n">
        <f aca="false">IF(A66=A65,IF(F66&lt;0,-F66,0),"")</f>
        <v>6.32999999999993</v>
      </c>
    </row>
    <row r="67" customFormat="false" ht="15" hidden="false" customHeight="false" outlineLevel="0" collapsed="false">
      <c r="A67" s="14" t="s">
        <v>86</v>
      </c>
      <c r="B67" s="15" t="n">
        <v>45965</v>
      </c>
      <c r="C67" s="14" t="n">
        <v>2496.7</v>
      </c>
      <c r="D67" s="14" t="n">
        <v>1058249</v>
      </c>
      <c r="E67" s="16" t="n">
        <f aca="false">COUNTIFS($A$2:$A$1561,A67,$B$2:$B$1561,"&gt;"&amp;B67)+1</f>
        <v>195</v>
      </c>
      <c r="F67" s="16" t="n">
        <f aca="false">IF(A67=A66,C67-C66,"")</f>
        <v>22.1299999999997</v>
      </c>
      <c r="G67" s="16" t="n">
        <f aca="false">IF(A67=A66,IF(F67&gt;0,F67,0),"")</f>
        <v>22.1299999999997</v>
      </c>
      <c r="H67" s="16" t="n">
        <f aca="false">IF(A67=A66,IF(F67&lt;0,-F67,0),"")</f>
        <v>0</v>
      </c>
    </row>
    <row r="68" customFormat="false" ht="15" hidden="false" customHeight="false" outlineLevel="0" collapsed="false">
      <c r="A68" s="14" t="s">
        <v>86</v>
      </c>
      <c r="B68" s="15" t="n">
        <v>45966</v>
      </c>
      <c r="C68" s="14" t="n">
        <v>2504.41</v>
      </c>
      <c r="D68" s="14" t="n">
        <v>1299356</v>
      </c>
      <c r="E68" s="16" t="n">
        <f aca="false">COUNTIFS($A$2:$A$1561,A68,$B$2:$B$1561,"&gt;"&amp;B68)+1</f>
        <v>194</v>
      </c>
      <c r="F68" s="16" t="n">
        <f aca="false">IF(A68=A67,C68-C67,"")</f>
        <v>7.71000000000004</v>
      </c>
      <c r="G68" s="16" t="n">
        <f aca="false">IF(A68=A67,IF(F68&gt;0,F68,0),"")</f>
        <v>7.71000000000004</v>
      </c>
      <c r="H68" s="16" t="n">
        <f aca="false">IF(A68=A67,IF(F68&lt;0,-F68,0),"")</f>
        <v>0</v>
      </c>
    </row>
    <row r="69" customFormat="false" ht="15" hidden="false" customHeight="false" outlineLevel="0" collapsed="false">
      <c r="A69" s="14" t="s">
        <v>86</v>
      </c>
      <c r="B69" s="15" t="n">
        <v>45967</v>
      </c>
      <c r="C69" s="14" t="n">
        <v>2527.45</v>
      </c>
      <c r="D69" s="14" t="n">
        <v>1572431</v>
      </c>
      <c r="E69" s="16" t="n">
        <f aca="false">COUNTIFS($A$2:$A$1561,A69,$B$2:$B$1561,"&gt;"&amp;B69)+1</f>
        <v>193</v>
      </c>
      <c r="F69" s="16" t="n">
        <f aca="false">IF(A69=A68,C69-C68,"")</f>
        <v>23.04</v>
      </c>
      <c r="G69" s="16" t="n">
        <f aca="false">IF(A69=A68,IF(F69&gt;0,F69,0),"")</f>
        <v>23.04</v>
      </c>
      <c r="H69" s="16" t="n">
        <f aca="false">IF(A69=A68,IF(F69&lt;0,-F69,0),"")</f>
        <v>0</v>
      </c>
    </row>
    <row r="70" customFormat="false" ht="15" hidden="false" customHeight="false" outlineLevel="0" collapsed="false">
      <c r="A70" s="14" t="s">
        <v>86</v>
      </c>
      <c r="B70" s="15" t="n">
        <v>45968</v>
      </c>
      <c r="C70" s="14" t="n">
        <v>2548.8</v>
      </c>
      <c r="D70" s="14" t="n">
        <v>730683</v>
      </c>
      <c r="E70" s="16" t="n">
        <f aca="false">COUNTIFS($A$2:$A$1561,A70,$B$2:$B$1561,"&gt;"&amp;B70)+1</f>
        <v>192</v>
      </c>
      <c r="F70" s="16" t="n">
        <f aca="false">IF(A70=A69,C70-C69,"")</f>
        <v>21.3500000000004</v>
      </c>
      <c r="G70" s="16" t="n">
        <f aca="false">IF(A70=A69,IF(F70&gt;0,F70,0),"")</f>
        <v>21.3500000000004</v>
      </c>
      <c r="H70" s="16" t="n">
        <f aca="false">IF(A70=A69,IF(F70&lt;0,-F70,0),"")</f>
        <v>0</v>
      </c>
    </row>
    <row r="71" customFormat="false" ht="15" hidden="false" customHeight="false" outlineLevel="0" collapsed="false">
      <c r="A71" s="14" t="s">
        <v>86</v>
      </c>
      <c r="B71" s="15" t="n">
        <v>45971</v>
      </c>
      <c r="C71" s="14" t="n">
        <v>2571.76</v>
      </c>
      <c r="D71" s="14" t="n">
        <v>857135</v>
      </c>
      <c r="E71" s="16" t="n">
        <f aca="false">COUNTIFS($A$2:$A$1561,A71,$B$2:$B$1561,"&gt;"&amp;B71)+1</f>
        <v>191</v>
      </c>
      <c r="F71" s="16" t="n">
        <f aca="false">IF(A71=A70,C71-C70,"")</f>
        <v>22.96</v>
      </c>
      <c r="G71" s="16" t="n">
        <f aca="false">IF(A71=A70,IF(F71&gt;0,F71,0),"")</f>
        <v>22.96</v>
      </c>
      <c r="H71" s="16" t="n">
        <f aca="false">IF(A71=A70,IF(F71&lt;0,-F71,0),"")</f>
        <v>0</v>
      </c>
    </row>
    <row r="72" customFormat="false" ht="15" hidden="false" customHeight="false" outlineLevel="0" collapsed="false">
      <c r="A72" s="14" t="s">
        <v>86</v>
      </c>
      <c r="B72" s="15" t="n">
        <v>45972</v>
      </c>
      <c r="C72" s="14" t="n">
        <v>2594.56</v>
      </c>
      <c r="D72" s="14" t="n">
        <v>1030932</v>
      </c>
      <c r="E72" s="16" t="n">
        <f aca="false">COUNTIFS($A$2:$A$1561,A72,$B$2:$B$1561,"&gt;"&amp;B72)+1</f>
        <v>190</v>
      </c>
      <c r="F72" s="16" t="n">
        <f aca="false">IF(A72=A71,C72-C71,"")</f>
        <v>22.7999999999997</v>
      </c>
      <c r="G72" s="16" t="n">
        <f aca="false">IF(A72=A71,IF(F72&gt;0,F72,0),"")</f>
        <v>22.7999999999997</v>
      </c>
      <c r="H72" s="16" t="n">
        <f aca="false">IF(A72=A71,IF(F72&lt;0,-F72,0),"")</f>
        <v>0</v>
      </c>
    </row>
    <row r="73" customFormat="false" ht="15" hidden="false" customHeight="false" outlineLevel="0" collapsed="false">
      <c r="A73" s="14" t="s">
        <v>86</v>
      </c>
      <c r="B73" s="15" t="n">
        <v>45973</v>
      </c>
      <c r="C73" s="14" t="n">
        <v>2577.67</v>
      </c>
      <c r="D73" s="14" t="n">
        <v>1369127</v>
      </c>
      <c r="E73" s="16" t="n">
        <f aca="false">COUNTIFS($A$2:$A$1561,A73,$B$2:$B$1561,"&gt;"&amp;B73)+1</f>
        <v>189</v>
      </c>
      <c r="F73" s="16" t="n">
        <f aca="false">IF(A73=A72,C73-C72,"")</f>
        <v>-16.8899999999999</v>
      </c>
      <c r="G73" s="16" t="n">
        <f aca="false">IF(A73=A72,IF(F73&gt;0,F73,0),"")</f>
        <v>0</v>
      </c>
      <c r="H73" s="16" t="n">
        <f aca="false">IF(A73=A72,IF(F73&lt;0,-F73,0),"")</f>
        <v>16.8899999999999</v>
      </c>
    </row>
    <row r="74" customFormat="false" ht="15" hidden="false" customHeight="false" outlineLevel="0" collapsed="false">
      <c r="A74" s="14" t="s">
        <v>86</v>
      </c>
      <c r="B74" s="15" t="n">
        <v>45974</v>
      </c>
      <c r="C74" s="14" t="n">
        <v>2589.67</v>
      </c>
      <c r="D74" s="14" t="n">
        <v>1127354</v>
      </c>
      <c r="E74" s="16" t="n">
        <f aca="false">COUNTIFS($A$2:$A$1561,A74,$B$2:$B$1561,"&gt;"&amp;B74)+1</f>
        <v>188</v>
      </c>
      <c r="F74" s="16" t="n">
        <f aca="false">IF(A74=A73,C74-C73,"")</f>
        <v>12</v>
      </c>
      <c r="G74" s="16" t="n">
        <f aca="false">IF(A74=A73,IF(F74&gt;0,F74,0),"")</f>
        <v>12</v>
      </c>
      <c r="H74" s="16" t="n">
        <f aca="false">IF(A74=A73,IF(F74&lt;0,-F74,0),"")</f>
        <v>0</v>
      </c>
    </row>
    <row r="75" customFormat="false" ht="15" hidden="false" customHeight="false" outlineLevel="0" collapsed="false">
      <c r="A75" s="14" t="s">
        <v>86</v>
      </c>
      <c r="B75" s="15" t="n">
        <v>45975</v>
      </c>
      <c r="C75" s="14" t="n">
        <v>2596.02</v>
      </c>
      <c r="D75" s="14" t="n">
        <v>1522846</v>
      </c>
      <c r="E75" s="16" t="n">
        <f aca="false">COUNTIFS($A$2:$A$1561,A75,$B$2:$B$1561,"&gt;"&amp;B75)+1</f>
        <v>187</v>
      </c>
      <c r="F75" s="16" t="n">
        <f aca="false">IF(A75=A74,C75-C74,"")</f>
        <v>6.34999999999991</v>
      </c>
      <c r="G75" s="16" t="n">
        <f aca="false">IF(A75=A74,IF(F75&gt;0,F75,0),"")</f>
        <v>6.34999999999991</v>
      </c>
      <c r="H75" s="16" t="n">
        <f aca="false">IF(A75=A74,IF(F75&lt;0,-F75,0),"")</f>
        <v>0</v>
      </c>
    </row>
    <row r="76" customFormat="false" ht="15" hidden="false" customHeight="false" outlineLevel="0" collapsed="false">
      <c r="A76" s="14" t="s">
        <v>86</v>
      </c>
      <c r="B76" s="15" t="n">
        <v>45978</v>
      </c>
      <c r="C76" s="14" t="n">
        <v>2592.05</v>
      </c>
      <c r="D76" s="14" t="n">
        <v>1653176</v>
      </c>
      <c r="E76" s="16" t="n">
        <f aca="false">COUNTIFS($A$2:$A$1561,A76,$B$2:$B$1561,"&gt;"&amp;B76)+1</f>
        <v>186</v>
      </c>
      <c r="F76" s="16" t="n">
        <f aca="false">IF(A76=A75,C76-C75,"")</f>
        <v>-3.9699999999998</v>
      </c>
      <c r="G76" s="16" t="n">
        <f aca="false">IF(A76=A75,IF(F76&gt;0,F76,0),"")</f>
        <v>0</v>
      </c>
      <c r="H76" s="16" t="n">
        <f aca="false">IF(A76=A75,IF(F76&lt;0,-F76,0),"")</f>
        <v>3.9699999999998</v>
      </c>
    </row>
    <row r="77" customFormat="false" ht="15" hidden="false" customHeight="false" outlineLevel="0" collapsed="false">
      <c r="A77" s="14" t="s">
        <v>86</v>
      </c>
      <c r="B77" s="15" t="n">
        <v>45979</v>
      </c>
      <c r="C77" s="14" t="n">
        <v>2582.01</v>
      </c>
      <c r="D77" s="14" t="n">
        <v>1917570</v>
      </c>
      <c r="E77" s="16" t="n">
        <f aca="false">COUNTIFS($A$2:$A$1561,A77,$B$2:$B$1561,"&gt;"&amp;B77)+1</f>
        <v>185</v>
      </c>
      <c r="F77" s="16" t="n">
        <f aca="false">IF(A77=A76,C77-C76,"")</f>
        <v>-10.04</v>
      </c>
      <c r="G77" s="16" t="n">
        <f aca="false">IF(A77=A76,IF(F77&gt;0,F77,0),"")</f>
        <v>0</v>
      </c>
      <c r="H77" s="16" t="n">
        <f aca="false">IF(A77=A76,IF(F77&lt;0,-F77,0),"")</f>
        <v>10.04</v>
      </c>
    </row>
    <row r="78" customFormat="false" ht="15" hidden="false" customHeight="false" outlineLevel="0" collapsed="false">
      <c r="A78" s="14" t="s">
        <v>86</v>
      </c>
      <c r="B78" s="15" t="n">
        <v>45980</v>
      </c>
      <c r="C78" s="14" t="n">
        <v>2560.24</v>
      </c>
      <c r="D78" s="14" t="n">
        <v>2351150</v>
      </c>
      <c r="E78" s="16" t="n">
        <f aca="false">COUNTIFS($A$2:$A$1561,A78,$B$2:$B$1561,"&gt;"&amp;B78)+1</f>
        <v>184</v>
      </c>
      <c r="F78" s="16" t="n">
        <f aca="false">IF(A78=A77,C78-C77,"")</f>
        <v>-21.7700000000004</v>
      </c>
      <c r="G78" s="16" t="n">
        <f aca="false">IF(A78=A77,IF(F78&gt;0,F78,0),"")</f>
        <v>0</v>
      </c>
      <c r="H78" s="16" t="n">
        <f aca="false">IF(A78=A77,IF(F78&lt;0,-F78,0),"")</f>
        <v>21.7700000000004</v>
      </c>
    </row>
    <row r="79" customFormat="false" ht="15" hidden="false" customHeight="false" outlineLevel="0" collapsed="false">
      <c r="A79" s="14" t="s">
        <v>86</v>
      </c>
      <c r="B79" s="15" t="n">
        <v>45981</v>
      </c>
      <c r="C79" s="14" t="n">
        <v>2563.4</v>
      </c>
      <c r="D79" s="14" t="n">
        <v>1938859</v>
      </c>
      <c r="E79" s="16" t="n">
        <f aca="false">COUNTIFS($A$2:$A$1561,A79,$B$2:$B$1561,"&gt;"&amp;B79)+1</f>
        <v>183</v>
      </c>
      <c r="F79" s="16" t="n">
        <f aca="false">IF(A79=A78,C79-C78,"")</f>
        <v>3.16000000000031</v>
      </c>
      <c r="G79" s="16" t="n">
        <f aca="false">IF(A79=A78,IF(F79&gt;0,F79,0),"")</f>
        <v>3.16000000000031</v>
      </c>
      <c r="H79" s="16" t="n">
        <f aca="false">IF(A79=A78,IF(F79&lt;0,-F79,0),"")</f>
        <v>0</v>
      </c>
    </row>
    <row r="80" customFormat="false" ht="15" hidden="false" customHeight="false" outlineLevel="0" collapsed="false">
      <c r="A80" s="14" t="s">
        <v>86</v>
      </c>
      <c r="B80" s="15" t="n">
        <v>45982</v>
      </c>
      <c r="C80" s="14" t="n">
        <v>2575.95</v>
      </c>
      <c r="D80" s="14" t="n">
        <v>1841257</v>
      </c>
      <c r="E80" s="16" t="n">
        <f aca="false">COUNTIFS($A$2:$A$1561,A80,$B$2:$B$1561,"&gt;"&amp;B80)+1</f>
        <v>182</v>
      </c>
      <c r="F80" s="16" t="n">
        <f aca="false">IF(A80=A79,C80-C79,"")</f>
        <v>12.5499999999997</v>
      </c>
      <c r="G80" s="16" t="n">
        <f aca="false">IF(A80=A79,IF(F80&gt;0,F80,0),"")</f>
        <v>12.5499999999997</v>
      </c>
      <c r="H80" s="16" t="n">
        <f aca="false">IF(A80=A79,IF(F80&lt;0,-F80,0),"")</f>
        <v>0</v>
      </c>
    </row>
    <row r="81" customFormat="false" ht="15" hidden="false" customHeight="false" outlineLevel="0" collapsed="false">
      <c r="A81" s="14" t="s">
        <v>86</v>
      </c>
      <c r="B81" s="15" t="n">
        <v>45985</v>
      </c>
      <c r="C81" s="14" t="n">
        <v>2571.04</v>
      </c>
      <c r="D81" s="14" t="n">
        <v>639947</v>
      </c>
      <c r="E81" s="16" t="n">
        <f aca="false">COUNTIFS($A$2:$A$1561,A81,$B$2:$B$1561,"&gt;"&amp;B81)+1</f>
        <v>181</v>
      </c>
      <c r="F81" s="16" t="n">
        <f aca="false">IF(A81=A80,C81-C80,"")</f>
        <v>-4.90999999999985</v>
      </c>
      <c r="G81" s="16" t="n">
        <f aca="false">IF(A81=A80,IF(F81&gt;0,F81,0),"")</f>
        <v>0</v>
      </c>
      <c r="H81" s="16" t="n">
        <f aca="false">IF(A81=A80,IF(F81&lt;0,-F81,0),"")</f>
        <v>4.90999999999985</v>
      </c>
    </row>
    <row r="82" customFormat="false" ht="15" hidden="false" customHeight="false" outlineLevel="0" collapsed="false">
      <c r="A82" s="14" t="s">
        <v>86</v>
      </c>
      <c r="B82" s="15" t="n">
        <v>45986</v>
      </c>
      <c r="C82" s="14" t="n">
        <v>2580.03</v>
      </c>
      <c r="D82" s="14" t="n">
        <v>1160400</v>
      </c>
      <c r="E82" s="16" t="n">
        <f aca="false">COUNTIFS($A$2:$A$1561,A82,$B$2:$B$1561,"&gt;"&amp;B82)+1</f>
        <v>180</v>
      </c>
      <c r="F82" s="16" t="n">
        <f aca="false">IF(A82=A81,C82-C81,"")</f>
        <v>8.99000000000024</v>
      </c>
      <c r="G82" s="16" t="n">
        <f aca="false">IF(A82=A81,IF(F82&gt;0,F82,0),"")</f>
        <v>8.99000000000024</v>
      </c>
      <c r="H82" s="16" t="n">
        <f aca="false">IF(A82=A81,IF(F82&lt;0,-F82,0),"")</f>
        <v>0</v>
      </c>
    </row>
    <row r="83" customFormat="false" ht="15" hidden="false" customHeight="false" outlineLevel="0" collapsed="false">
      <c r="A83" s="14" t="s">
        <v>86</v>
      </c>
      <c r="B83" s="15" t="n">
        <v>45987</v>
      </c>
      <c r="C83" s="14" t="n">
        <v>2572.78</v>
      </c>
      <c r="D83" s="14" t="n">
        <v>2196030</v>
      </c>
      <c r="E83" s="16" t="n">
        <f aca="false">COUNTIFS($A$2:$A$1561,A83,$B$2:$B$1561,"&gt;"&amp;B83)+1</f>
        <v>179</v>
      </c>
      <c r="F83" s="16" t="n">
        <f aca="false">IF(A83=A82,C83-C82,"")</f>
        <v>-7.25</v>
      </c>
      <c r="G83" s="16" t="n">
        <f aca="false">IF(A83=A82,IF(F83&gt;0,F83,0),"")</f>
        <v>0</v>
      </c>
      <c r="H83" s="16" t="n">
        <f aca="false">IF(A83=A82,IF(F83&lt;0,-F83,0),"")</f>
        <v>7.25</v>
      </c>
    </row>
    <row r="84" customFormat="false" ht="15" hidden="false" customHeight="false" outlineLevel="0" collapsed="false">
      <c r="A84" s="14" t="s">
        <v>86</v>
      </c>
      <c r="B84" s="15" t="n">
        <v>45988</v>
      </c>
      <c r="C84" s="14" t="n">
        <v>2584.35</v>
      </c>
      <c r="D84" s="14" t="n">
        <v>1100644</v>
      </c>
      <c r="E84" s="16" t="n">
        <f aca="false">COUNTIFS($A$2:$A$1561,A84,$B$2:$B$1561,"&gt;"&amp;B84)+1</f>
        <v>178</v>
      </c>
      <c r="F84" s="16" t="n">
        <f aca="false">IF(A84=A83,C84-C83,"")</f>
        <v>11.5699999999997</v>
      </c>
      <c r="G84" s="16" t="n">
        <f aca="false">IF(A84=A83,IF(F84&gt;0,F84,0),"")</f>
        <v>11.5699999999997</v>
      </c>
      <c r="H84" s="16" t="n">
        <f aca="false">IF(A84=A83,IF(F84&lt;0,-F84,0),"")</f>
        <v>0</v>
      </c>
    </row>
    <row r="85" customFormat="false" ht="15" hidden="false" customHeight="false" outlineLevel="0" collapsed="false">
      <c r="A85" s="14" t="s">
        <v>86</v>
      </c>
      <c r="B85" s="15" t="n">
        <v>45989</v>
      </c>
      <c r="C85" s="14" t="n">
        <v>2576.87</v>
      </c>
      <c r="D85" s="14" t="n">
        <v>1316785</v>
      </c>
      <c r="E85" s="16" t="n">
        <f aca="false">COUNTIFS($A$2:$A$1561,A85,$B$2:$B$1561,"&gt;"&amp;B85)+1</f>
        <v>177</v>
      </c>
      <c r="F85" s="16" t="n">
        <f aca="false">IF(A85=A84,C85-C84,"")</f>
        <v>-7.48000000000002</v>
      </c>
      <c r="G85" s="16" t="n">
        <f aca="false">IF(A85=A84,IF(F85&gt;0,F85,0),"")</f>
        <v>0</v>
      </c>
      <c r="H85" s="16" t="n">
        <f aca="false">IF(A85=A84,IF(F85&lt;0,-F85,0),"")</f>
        <v>7.48000000000002</v>
      </c>
    </row>
    <row r="86" customFormat="false" ht="15" hidden="false" customHeight="false" outlineLevel="0" collapsed="false">
      <c r="A86" s="14" t="s">
        <v>86</v>
      </c>
      <c r="B86" s="15" t="n">
        <v>45992</v>
      </c>
      <c r="C86" s="14" t="n">
        <v>2573.74</v>
      </c>
      <c r="D86" s="14" t="n">
        <v>1091310</v>
      </c>
      <c r="E86" s="16" t="n">
        <f aca="false">COUNTIFS($A$2:$A$1561,A86,$B$2:$B$1561,"&gt;"&amp;B86)+1</f>
        <v>176</v>
      </c>
      <c r="F86" s="16" t="n">
        <f aca="false">IF(A86=A85,C86-C85,"")</f>
        <v>-3.13000000000011</v>
      </c>
      <c r="G86" s="16" t="n">
        <f aca="false">IF(A86=A85,IF(F86&gt;0,F86,0),"")</f>
        <v>0</v>
      </c>
      <c r="H86" s="16" t="n">
        <f aca="false">IF(A86=A85,IF(F86&lt;0,-F86,0),"")</f>
        <v>3.13000000000011</v>
      </c>
    </row>
    <row r="87" customFormat="false" ht="15" hidden="false" customHeight="false" outlineLevel="0" collapsed="false">
      <c r="A87" s="14" t="s">
        <v>86</v>
      </c>
      <c r="B87" s="15" t="n">
        <v>45993</v>
      </c>
      <c r="C87" s="14" t="n">
        <v>2557.86</v>
      </c>
      <c r="D87" s="14" t="n">
        <v>1340892</v>
      </c>
      <c r="E87" s="16" t="n">
        <f aca="false">COUNTIFS($A$2:$A$1561,A87,$B$2:$B$1561,"&gt;"&amp;B87)+1</f>
        <v>175</v>
      </c>
      <c r="F87" s="16" t="n">
        <f aca="false">IF(A87=A86,C87-C86,"")</f>
        <v>-15.8799999999997</v>
      </c>
      <c r="G87" s="16" t="n">
        <f aca="false">IF(A87=A86,IF(F87&gt;0,F87,0),"")</f>
        <v>0</v>
      </c>
      <c r="H87" s="16" t="n">
        <f aca="false">IF(A87=A86,IF(F87&lt;0,-F87,0),"")</f>
        <v>15.8799999999997</v>
      </c>
    </row>
    <row r="88" customFormat="false" ht="15" hidden="false" customHeight="false" outlineLevel="0" collapsed="false">
      <c r="A88" s="14" t="s">
        <v>86</v>
      </c>
      <c r="B88" s="15" t="n">
        <v>45994</v>
      </c>
      <c r="C88" s="14" t="n">
        <v>2579.52</v>
      </c>
      <c r="D88" s="14" t="n">
        <v>1854635</v>
      </c>
      <c r="E88" s="16" t="n">
        <f aca="false">COUNTIFS($A$2:$A$1561,A88,$B$2:$B$1561,"&gt;"&amp;B88)+1</f>
        <v>174</v>
      </c>
      <c r="F88" s="16" t="n">
        <f aca="false">IF(A88=A87,C88-C87,"")</f>
        <v>21.6599999999999</v>
      </c>
      <c r="G88" s="16" t="n">
        <f aca="false">IF(A88=A87,IF(F88&gt;0,F88,0),"")</f>
        <v>21.6599999999999</v>
      </c>
      <c r="H88" s="16" t="n">
        <f aca="false">IF(A88=A87,IF(F88&lt;0,-F88,0),"")</f>
        <v>0</v>
      </c>
    </row>
    <row r="89" customFormat="false" ht="15" hidden="false" customHeight="false" outlineLevel="0" collapsed="false">
      <c r="A89" s="14" t="s">
        <v>86</v>
      </c>
      <c r="B89" s="15" t="n">
        <v>45995</v>
      </c>
      <c r="C89" s="14" t="n">
        <v>2599.61</v>
      </c>
      <c r="D89" s="14" t="n">
        <v>1731029</v>
      </c>
      <c r="E89" s="16" t="n">
        <f aca="false">COUNTIFS($A$2:$A$1561,A89,$B$2:$B$1561,"&gt;"&amp;B89)+1</f>
        <v>173</v>
      </c>
      <c r="F89" s="16" t="n">
        <f aca="false">IF(A89=A88,C89-C88,"")</f>
        <v>20.0900000000001</v>
      </c>
      <c r="G89" s="16" t="n">
        <f aca="false">IF(A89=A88,IF(F89&gt;0,F89,0),"")</f>
        <v>20.0900000000001</v>
      </c>
      <c r="H89" s="16" t="n">
        <f aca="false">IF(A89=A88,IF(F89&lt;0,-F89,0),"")</f>
        <v>0</v>
      </c>
    </row>
    <row r="90" customFormat="false" ht="15" hidden="false" customHeight="false" outlineLevel="0" collapsed="false">
      <c r="A90" s="14" t="s">
        <v>86</v>
      </c>
      <c r="B90" s="15" t="n">
        <v>45996</v>
      </c>
      <c r="C90" s="14" t="n">
        <v>2591.7</v>
      </c>
      <c r="D90" s="14" t="n">
        <v>1595874</v>
      </c>
      <c r="E90" s="16" t="n">
        <f aca="false">COUNTIFS($A$2:$A$1561,A90,$B$2:$B$1561,"&gt;"&amp;B90)+1</f>
        <v>172</v>
      </c>
      <c r="F90" s="16" t="n">
        <f aca="false">IF(A90=A89,C90-C89,"")</f>
        <v>-7.91000000000031</v>
      </c>
      <c r="G90" s="16" t="n">
        <f aca="false">IF(A90=A89,IF(F90&gt;0,F90,0),"")</f>
        <v>0</v>
      </c>
      <c r="H90" s="16" t="n">
        <f aca="false">IF(A90=A89,IF(F90&lt;0,-F90,0),"")</f>
        <v>7.91000000000031</v>
      </c>
    </row>
    <row r="91" customFormat="false" ht="15" hidden="false" customHeight="false" outlineLevel="0" collapsed="false">
      <c r="A91" s="14" t="s">
        <v>86</v>
      </c>
      <c r="B91" s="15" t="n">
        <v>45999</v>
      </c>
      <c r="C91" s="14" t="n">
        <v>2569.79</v>
      </c>
      <c r="D91" s="14" t="n">
        <v>1073827</v>
      </c>
      <c r="E91" s="16" t="n">
        <f aca="false">COUNTIFS($A$2:$A$1561,A91,$B$2:$B$1561,"&gt;"&amp;B91)+1</f>
        <v>171</v>
      </c>
      <c r="F91" s="16" t="n">
        <f aca="false">IF(A91=A90,C91-C90,"")</f>
        <v>-21.9099999999999</v>
      </c>
      <c r="G91" s="16" t="n">
        <f aca="false">IF(A91=A90,IF(F91&gt;0,F91,0),"")</f>
        <v>0</v>
      </c>
      <c r="H91" s="16" t="n">
        <f aca="false">IF(A91=A90,IF(F91&lt;0,-F91,0),"")</f>
        <v>21.9099999999999</v>
      </c>
    </row>
    <row r="92" customFormat="false" ht="15" hidden="false" customHeight="false" outlineLevel="0" collapsed="false">
      <c r="A92" s="14" t="s">
        <v>86</v>
      </c>
      <c r="B92" s="15" t="n">
        <v>46000</v>
      </c>
      <c r="C92" s="14" t="n">
        <v>2567.94</v>
      </c>
      <c r="D92" s="14" t="n">
        <v>1659969</v>
      </c>
      <c r="E92" s="16" t="n">
        <f aca="false">COUNTIFS($A$2:$A$1561,A92,$B$2:$B$1561,"&gt;"&amp;B92)+1</f>
        <v>170</v>
      </c>
      <c r="F92" s="16" t="n">
        <f aca="false">IF(A92=A91,C92-C91,"")</f>
        <v>-1.84999999999991</v>
      </c>
      <c r="G92" s="16" t="n">
        <f aca="false">IF(A92=A91,IF(F92&gt;0,F92,0),"")</f>
        <v>0</v>
      </c>
      <c r="H92" s="16" t="n">
        <f aca="false">IF(A92=A91,IF(F92&lt;0,-F92,0),"")</f>
        <v>1.84999999999991</v>
      </c>
    </row>
    <row r="93" customFormat="false" ht="15" hidden="false" customHeight="false" outlineLevel="0" collapsed="false">
      <c r="A93" s="14" t="s">
        <v>86</v>
      </c>
      <c r="B93" s="15" t="n">
        <v>46001</v>
      </c>
      <c r="C93" s="14" t="n">
        <v>2576.48</v>
      </c>
      <c r="D93" s="14" t="n">
        <v>1429976</v>
      </c>
      <c r="E93" s="16" t="n">
        <f aca="false">COUNTIFS($A$2:$A$1561,A93,$B$2:$B$1561,"&gt;"&amp;B93)+1</f>
        <v>169</v>
      </c>
      <c r="F93" s="16" t="n">
        <f aca="false">IF(A93=A92,C93-C92,"")</f>
        <v>8.53999999999996</v>
      </c>
      <c r="G93" s="16" t="n">
        <f aca="false">IF(A93=A92,IF(F93&gt;0,F93,0),"")</f>
        <v>8.53999999999996</v>
      </c>
      <c r="H93" s="16" t="n">
        <f aca="false">IF(A93=A92,IF(F93&lt;0,-F93,0),"")</f>
        <v>0</v>
      </c>
    </row>
    <row r="94" customFormat="false" ht="15" hidden="false" customHeight="false" outlineLevel="0" collapsed="false">
      <c r="A94" s="14" t="s">
        <v>86</v>
      </c>
      <c r="B94" s="15" t="n">
        <v>46002</v>
      </c>
      <c r="C94" s="14" t="n">
        <v>2575.19</v>
      </c>
      <c r="D94" s="14" t="n">
        <v>927402</v>
      </c>
      <c r="E94" s="16" t="n">
        <f aca="false">COUNTIFS($A$2:$A$1561,A94,$B$2:$B$1561,"&gt;"&amp;B94)+1</f>
        <v>168</v>
      </c>
      <c r="F94" s="16" t="n">
        <f aca="false">IF(A94=A93,C94-C93,"")</f>
        <v>-1.28999999999996</v>
      </c>
      <c r="G94" s="16" t="n">
        <f aca="false">IF(A94=A93,IF(F94&gt;0,F94,0),"")</f>
        <v>0</v>
      </c>
      <c r="H94" s="16" t="n">
        <f aca="false">IF(A94=A93,IF(F94&lt;0,-F94,0),"")</f>
        <v>1.28999999999996</v>
      </c>
    </row>
    <row r="95" customFormat="false" ht="15" hidden="false" customHeight="false" outlineLevel="0" collapsed="false">
      <c r="A95" s="14" t="s">
        <v>86</v>
      </c>
      <c r="B95" s="15" t="n">
        <v>46003</v>
      </c>
      <c r="C95" s="14" t="n">
        <v>2575.33</v>
      </c>
      <c r="D95" s="14" t="n">
        <v>2302361</v>
      </c>
      <c r="E95" s="16" t="n">
        <f aca="false">COUNTIFS($A$2:$A$1561,A95,$B$2:$B$1561,"&gt;"&amp;B95)+1</f>
        <v>167</v>
      </c>
      <c r="F95" s="16" t="n">
        <f aca="false">IF(A95=A94,C95-C94,"")</f>
        <v>0.139999999999873</v>
      </c>
      <c r="G95" s="16" t="n">
        <f aca="false">IF(A95=A94,IF(F95&gt;0,F95,0),"")</f>
        <v>0.139999999999873</v>
      </c>
      <c r="H95" s="16" t="n">
        <f aca="false">IF(A95=A94,IF(F95&lt;0,-F95,0),"")</f>
        <v>0</v>
      </c>
    </row>
    <row r="96" customFormat="false" ht="15" hidden="false" customHeight="false" outlineLevel="0" collapsed="false">
      <c r="A96" s="14" t="s">
        <v>86</v>
      </c>
      <c r="B96" s="15" t="n">
        <v>46006</v>
      </c>
      <c r="C96" s="14" t="n">
        <v>2590.45</v>
      </c>
      <c r="D96" s="14" t="n">
        <v>839382</v>
      </c>
      <c r="E96" s="16" t="n">
        <f aca="false">COUNTIFS($A$2:$A$1561,A96,$B$2:$B$1561,"&gt;"&amp;B96)+1</f>
        <v>166</v>
      </c>
      <c r="F96" s="16" t="n">
        <f aca="false">IF(A96=A95,C96-C95,"")</f>
        <v>15.1199999999999</v>
      </c>
      <c r="G96" s="16" t="n">
        <f aca="false">IF(A96=A95,IF(F96&gt;0,F96,0),"")</f>
        <v>15.1199999999999</v>
      </c>
      <c r="H96" s="16" t="n">
        <f aca="false">IF(A96=A95,IF(F96&lt;0,-F96,0),"")</f>
        <v>0</v>
      </c>
    </row>
    <row r="97" customFormat="false" ht="15" hidden="false" customHeight="false" outlineLevel="0" collapsed="false">
      <c r="A97" s="14" t="s">
        <v>86</v>
      </c>
      <c r="B97" s="15" t="n">
        <v>46007</v>
      </c>
      <c r="C97" s="14" t="n">
        <v>2572.48</v>
      </c>
      <c r="D97" s="14" t="n">
        <v>1530904</v>
      </c>
      <c r="E97" s="16" t="n">
        <f aca="false">COUNTIFS($A$2:$A$1561,A97,$B$2:$B$1561,"&gt;"&amp;B97)+1</f>
        <v>165</v>
      </c>
      <c r="F97" s="16" t="n">
        <f aca="false">IF(A97=A96,C97-C96,"")</f>
        <v>-17.9699999999998</v>
      </c>
      <c r="G97" s="16" t="n">
        <f aca="false">IF(A97=A96,IF(F97&gt;0,F97,0),"")</f>
        <v>0</v>
      </c>
      <c r="H97" s="16" t="n">
        <f aca="false">IF(A97=A96,IF(F97&lt;0,-F97,0),"")</f>
        <v>17.9699999999998</v>
      </c>
    </row>
    <row r="98" customFormat="false" ht="15" hidden="false" customHeight="false" outlineLevel="0" collapsed="false">
      <c r="A98" s="14" t="s">
        <v>86</v>
      </c>
      <c r="B98" s="15" t="n">
        <v>46008</v>
      </c>
      <c r="C98" s="14" t="n">
        <v>2580.03</v>
      </c>
      <c r="D98" s="14" t="n">
        <v>1170376</v>
      </c>
      <c r="E98" s="16" t="n">
        <f aca="false">COUNTIFS($A$2:$A$1561,A98,$B$2:$B$1561,"&gt;"&amp;B98)+1</f>
        <v>164</v>
      </c>
      <c r="F98" s="16" t="n">
        <f aca="false">IF(A98=A97,C98-C97,"")</f>
        <v>7.55000000000018</v>
      </c>
      <c r="G98" s="16" t="n">
        <f aca="false">IF(A98=A97,IF(F98&gt;0,F98,0),"")</f>
        <v>7.55000000000018</v>
      </c>
      <c r="H98" s="16" t="n">
        <f aca="false">IF(A98=A97,IF(F98&lt;0,-F98,0),"")</f>
        <v>0</v>
      </c>
    </row>
    <row r="99" customFormat="false" ht="15" hidden="false" customHeight="false" outlineLevel="0" collapsed="false">
      <c r="A99" s="14" t="s">
        <v>86</v>
      </c>
      <c r="B99" s="15" t="n">
        <v>46009</v>
      </c>
      <c r="C99" s="14" t="n">
        <v>2596.21</v>
      </c>
      <c r="D99" s="14" t="n">
        <v>2002276</v>
      </c>
      <c r="E99" s="16" t="n">
        <f aca="false">COUNTIFS($A$2:$A$1561,A99,$B$2:$B$1561,"&gt;"&amp;B99)+1</f>
        <v>163</v>
      </c>
      <c r="F99" s="16" t="n">
        <f aca="false">IF(A99=A98,C99-C98,"")</f>
        <v>16.1799999999998</v>
      </c>
      <c r="G99" s="16" t="n">
        <f aca="false">IF(A99=A98,IF(F99&gt;0,F99,0),"")</f>
        <v>16.1799999999998</v>
      </c>
      <c r="H99" s="16" t="n">
        <f aca="false">IF(A99=A98,IF(F99&lt;0,-F99,0),"")</f>
        <v>0</v>
      </c>
    </row>
    <row r="100" customFormat="false" ht="15" hidden="false" customHeight="false" outlineLevel="0" collapsed="false">
      <c r="A100" s="14" t="s">
        <v>86</v>
      </c>
      <c r="B100" s="15" t="n">
        <v>46010</v>
      </c>
      <c r="C100" s="14" t="n">
        <v>2605.69</v>
      </c>
      <c r="D100" s="14" t="n">
        <v>949281</v>
      </c>
      <c r="E100" s="16" t="n">
        <f aca="false">COUNTIFS($A$2:$A$1561,A100,$B$2:$B$1561,"&gt;"&amp;B100)+1</f>
        <v>162</v>
      </c>
      <c r="F100" s="16" t="n">
        <f aca="false">IF(A100=A99,C100-C99,"")</f>
        <v>9.48000000000002</v>
      </c>
      <c r="G100" s="16" t="n">
        <f aca="false">IF(A100=A99,IF(F100&gt;0,F100,0),"")</f>
        <v>9.48000000000002</v>
      </c>
      <c r="H100" s="16" t="n">
        <f aca="false">IF(A100=A99,IF(F100&lt;0,-F100,0),"")</f>
        <v>0</v>
      </c>
    </row>
    <row r="101" customFormat="false" ht="15" hidden="false" customHeight="false" outlineLevel="0" collapsed="false">
      <c r="A101" s="14" t="s">
        <v>86</v>
      </c>
      <c r="B101" s="15" t="n">
        <v>46013</v>
      </c>
      <c r="C101" s="14" t="n">
        <v>2592.98</v>
      </c>
      <c r="D101" s="14" t="n">
        <v>548850</v>
      </c>
      <c r="E101" s="16" t="n">
        <f aca="false">COUNTIFS($A$2:$A$1561,A101,$B$2:$B$1561,"&gt;"&amp;B101)+1</f>
        <v>161</v>
      </c>
      <c r="F101" s="16" t="n">
        <f aca="false">IF(A101=A100,C101-C100,"")</f>
        <v>-12.71</v>
      </c>
      <c r="G101" s="16" t="n">
        <f aca="false">IF(A101=A100,IF(F101&gt;0,F101,0),"")</f>
        <v>0</v>
      </c>
      <c r="H101" s="16" t="n">
        <f aca="false">IF(A101=A100,IF(F101&lt;0,-F101,0),"")</f>
        <v>12.71</v>
      </c>
    </row>
    <row r="102" customFormat="false" ht="15" hidden="false" customHeight="false" outlineLevel="0" collapsed="false">
      <c r="A102" s="14" t="s">
        <v>86</v>
      </c>
      <c r="B102" s="15" t="n">
        <v>46014</v>
      </c>
      <c r="C102" s="14" t="n">
        <v>2582.47</v>
      </c>
      <c r="D102" s="14" t="n">
        <v>1450272</v>
      </c>
      <c r="E102" s="16" t="n">
        <f aca="false">COUNTIFS($A$2:$A$1561,A102,$B$2:$B$1561,"&gt;"&amp;B102)+1</f>
        <v>160</v>
      </c>
      <c r="F102" s="16" t="n">
        <f aca="false">IF(A102=A101,C102-C101,"")</f>
        <v>-10.5100000000002</v>
      </c>
      <c r="G102" s="16" t="n">
        <f aca="false">IF(A102=A101,IF(F102&gt;0,F102,0),"")</f>
        <v>0</v>
      </c>
      <c r="H102" s="16" t="n">
        <f aca="false">IF(A102=A101,IF(F102&lt;0,-F102,0),"")</f>
        <v>10.5100000000002</v>
      </c>
    </row>
    <row r="103" customFormat="false" ht="15" hidden="false" customHeight="false" outlineLevel="0" collapsed="false">
      <c r="A103" s="14" t="s">
        <v>86</v>
      </c>
      <c r="B103" s="15" t="n">
        <v>46015</v>
      </c>
      <c r="C103" s="14" t="n">
        <v>2600.13</v>
      </c>
      <c r="D103" s="14" t="n">
        <v>645656</v>
      </c>
      <c r="E103" s="16" t="n">
        <f aca="false">COUNTIFS($A$2:$A$1561,A103,$B$2:$B$1561,"&gt;"&amp;B103)+1</f>
        <v>159</v>
      </c>
      <c r="F103" s="16" t="n">
        <f aca="false">IF(A103=A102,C103-C102,"")</f>
        <v>17.6600000000003</v>
      </c>
      <c r="G103" s="16" t="n">
        <f aca="false">IF(A103=A102,IF(F103&gt;0,F103,0),"")</f>
        <v>17.6600000000003</v>
      </c>
      <c r="H103" s="16" t="n">
        <f aca="false">IF(A103=A102,IF(F103&lt;0,-F103,0),"")</f>
        <v>0</v>
      </c>
    </row>
    <row r="104" customFormat="false" ht="15" hidden="false" customHeight="false" outlineLevel="0" collapsed="false">
      <c r="A104" s="14" t="s">
        <v>86</v>
      </c>
      <c r="B104" s="15" t="n">
        <v>46016</v>
      </c>
      <c r="C104" s="14" t="n">
        <v>2597.53</v>
      </c>
      <c r="D104" s="14" t="n">
        <v>1759530</v>
      </c>
      <c r="E104" s="16" t="n">
        <f aca="false">COUNTIFS($A$2:$A$1561,A104,$B$2:$B$1561,"&gt;"&amp;B104)+1</f>
        <v>158</v>
      </c>
      <c r="F104" s="16" t="n">
        <f aca="false">IF(A104=A103,C104-C103,"")</f>
        <v>-2.59999999999991</v>
      </c>
      <c r="G104" s="16" t="n">
        <f aca="false">IF(A104=A103,IF(F104&gt;0,F104,0),"")</f>
        <v>0</v>
      </c>
      <c r="H104" s="16" t="n">
        <f aca="false">IF(A104=A103,IF(F104&lt;0,-F104,0),"")</f>
        <v>2.59999999999991</v>
      </c>
    </row>
    <row r="105" customFormat="false" ht="15" hidden="false" customHeight="false" outlineLevel="0" collapsed="false">
      <c r="A105" s="14" t="s">
        <v>86</v>
      </c>
      <c r="B105" s="15" t="n">
        <v>46017</v>
      </c>
      <c r="C105" s="14" t="n">
        <v>2584.64</v>
      </c>
      <c r="D105" s="14" t="n">
        <v>1892708</v>
      </c>
      <c r="E105" s="16" t="n">
        <f aca="false">COUNTIFS($A$2:$A$1561,A105,$B$2:$B$1561,"&gt;"&amp;B105)+1</f>
        <v>157</v>
      </c>
      <c r="F105" s="16" t="n">
        <f aca="false">IF(A105=A104,C105-C104,"")</f>
        <v>-12.8900000000003</v>
      </c>
      <c r="G105" s="16" t="n">
        <f aca="false">IF(A105=A104,IF(F105&gt;0,F105,0),"")</f>
        <v>0</v>
      </c>
      <c r="H105" s="16" t="n">
        <f aca="false">IF(A105=A104,IF(F105&lt;0,-F105,0),"")</f>
        <v>12.8900000000003</v>
      </c>
    </row>
    <row r="106" customFormat="false" ht="15" hidden="false" customHeight="false" outlineLevel="0" collapsed="false">
      <c r="A106" s="14" t="s">
        <v>86</v>
      </c>
      <c r="B106" s="15" t="n">
        <v>46020</v>
      </c>
      <c r="C106" s="14" t="n">
        <v>2585.78</v>
      </c>
      <c r="D106" s="14" t="n">
        <v>987968</v>
      </c>
      <c r="E106" s="16" t="n">
        <f aca="false">COUNTIFS($A$2:$A$1561,A106,$B$2:$B$1561,"&gt;"&amp;B106)+1</f>
        <v>156</v>
      </c>
      <c r="F106" s="16" t="n">
        <f aca="false">IF(A106=A105,C106-C105,"")</f>
        <v>1.14000000000033</v>
      </c>
      <c r="G106" s="16" t="n">
        <f aca="false">IF(A106=A105,IF(F106&gt;0,F106,0),"")</f>
        <v>1.14000000000033</v>
      </c>
      <c r="H106" s="16" t="n">
        <f aca="false">IF(A106=A105,IF(F106&lt;0,-F106,0),"")</f>
        <v>0</v>
      </c>
    </row>
    <row r="107" customFormat="false" ht="15" hidden="false" customHeight="false" outlineLevel="0" collapsed="false">
      <c r="A107" s="14" t="s">
        <v>86</v>
      </c>
      <c r="B107" s="15" t="n">
        <v>46021</v>
      </c>
      <c r="C107" s="14" t="n">
        <v>2594.44</v>
      </c>
      <c r="D107" s="14" t="n">
        <v>511089</v>
      </c>
      <c r="E107" s="16" t="n">
        <f aca="false">COUNTIFS($A$2:$A$1561,A107,$B$2:$B$1561,"&gt;"&amp;B107)+1</f>
        <v>155</v>
      </c>
      <c r="F107" s="16" t="n">
        <f aca="false">IF(A107=A106,C107-C106,"")</f>
        <v>8.65999999999985</v>
      </c>
      <c r="G107" s="16" t="n">
        <f aca="false">IF(A107=A106,IF(F107&gt;0,F107,0),"")</f>
        <v>8.65999999999985</v>
      </c>
      <c r="H107" s="16" t="n">
        <f aca="false">IF(A107=A106,IF(F107&lt;0,-F107,0),"")</f>
        <v>0</v>
      </c>
    </row>
    <row r="108" customFormat="false" ht="15" hidden="false" customHeight="false" outlineLevel="0" collapsed="false">
      <c r="A108" s="14" t="s">
        <v>86</v>
      </c>
      <c r="B108" s="15" t="n">
        <v>46022</v>
      </c>
      <c r="C108" s="14" t="n">
        <v>2607.56</v>
      </c>
      <c r="D108" s="14" t="n">
        <v>2040092</v>
      </c>
      <c r="E108" s="16" t="n">
        <f aca="false">COUNTIFS($A$2:$A$1561,A108,$B$2:$B$1561,"&gt;"&amp;B108)+1</f>
        <v>154</v>
      </c>
      <c r="F108" s="16" t="n">
        <f aca="false">IF(A108=A107,C108-C107,"")</f>
        <v>13.1199999999999</v>
      </c>
      <c r="G108" s="16" t="n">
        <f aca="false">IF(A108=A107,IF(F108&gt;0,F108,0),"")</f>
        <v>13.1199999999999</v>
      </c>
      <c r="H108" s="16" t="n">
        <f aca="false">IF(A108=A107,IF(F108&lt;0,-F108,0),"")</f>
        <v>0</v>
      </c>
    </row>
    <row r="109" customFormat="false" ht="15" hidden="false" customHeight="false" outlineLevel="0" collapsed="false">
      <c r="A109" s="14" t="s">
        <v>86</v>
      </c>
      <c r="B109" s="15" t="n">
        <v>46023</v>
      </c>
      <c r="C109" s="14" t="n">
        <v>2590.5</v>
      </c>
      <c r="D109" s="14" t="n">
        <v>1350292</v>
      </c>
      <c r="E109" s="16" t="n">
        <f aca="false">COUNTIFS($A$2:$A$1561,A109,$B$2:$B$1561,"&gt;"&amp;B109)+1</f>
        <v>153</v>
      </c>
      <c r="F109" s="16" t="n">
        <f aca="false">IF(A109=A108,C109-C108,"")</f>
        <v>-17.0599999999999</v>
      </c>
      <c r="G109" s="16" t="n">
        <f aca="false">IF(A109=A108,IF(F109&gt;0,F109,0),"")</f>
        <v>0</v>
      </c>
      <c r="H109" s="16" t="n">
        <f aca="false">IF(A109=A108,IF(F109&lt;0,-F109,0),"")</f>
        <v>17.0599999999999</v>
      </c>
    </row>
    <row r="110" customFormat="false" ht="15" hidden="false" customHeight="false" outlineLevel="0" collapsed="false">
      <c r="A110" s="14" t="s">
        <v>86</v>
      </c>
      <c r="B110" s="15" t="n">
        <v>46024</v>
      </c>
      <c r="C110" s="14" t="n">
        <v>2576.79</v>
      </c>
      <c r="D110" s="14" t="n">
        <v>2415932</v>
      </c>
      <c r="E110" s="16" t="n">
        <f aca="false">COUNTIFS($A$2:$A$1561,A110,$B$2:$B$1561,"&gt;"&amp;B110)+1</f>
        <v>152</v>
      </c>
      <c r="F110" s="16" t="n">
        <f aca="false">IF(A110=A109,C110-C109,"")</f>
        <v>-13.71</v>
      </c>
      <c r="G110" s="16" t="n">
        <f aca="false">IF(A110=A109,IF(F110&gt;0,F110,0),"")</f>
        <v>0</v>
      </c>
      <c r="H110" s="16" t="n">
        <f aca="false">IF(A110=A109,IF(F110&lt;0,-F110,0),"")</f>
        <v>13.71</v>
      </c>
    </row>
    <row r="111" customFormat="false" ht="15" hidden="false" customHeight="false" outlineLevel="0" collapsed="false">
      <c r="A111" s="14" t="s">
        <v>86</v>
      </c>
      <c r="B111" s="15" t="n">
        <v>46027</v>
      </c>
      <c r="C111" s="14" t="n">
        <v>2579.01</v>
      </c>
      <c r="D111" s="14" t="n">
        <v>600436</v>
      </c>
      <c r="E111" s="16" t="n">
        <f aca="false">COUNTIFS($A$2:$A$1561,A111,$B$2:$B$1561,"&gt;"&amp;B111)+1</f>
        <v>151</v>
      </c>
      <c r="F111" s="16" t="n">
        <f aca="false">IF(A111=A110,C111-C110,"")</f>
        <v>2.22000000000025</v>
      </c>
      <c r="G111" s="16" t="n">
        <f aca="false">IF(A111=A110,IF(F111&gt;0,F111,0),"")</f>
        <v>2.22000000000025</v>
      </c>
      <c r="H111" s="16" t="n">
        <f aca="false">IF(A111=A110,IF(F111&lt;0,-F111,0),"")</f>
        <v>0</v>
      </c>
    </row>
    <row r="112" customFormat="false" ht="15" hidden="false" customHeight="false" outlineLevel="0" collapsed="false">
      <c r="A112" s="14" t="s">
        <v>86</v>
      </c>
      <c r="B112" s="15" t="n">
        <v>46028</v>
      </c>
      <c r="C112" s="14" t="n">
        <v>2568.76</v>
      </c>
      <c r="D112" s="14" t="n">
        <v>2196672</v>
      </c>
      <c r="E112" s="16" t="n">
        <f aca="false">COUNTIFS($A$2:$A$1561,A112,$B$2:$B$1561,"&gt;"&amp;B112)+1</f>
        <v>150</v>
      </c>
      <c r="F112" s="16" t="n">
        <f aca="false">IF(A112=A111,C112-C111,"")</f>
        <v>-10.25</v>
      </c>
      <c r="G112" s="16" t="n">
        <f aca="false">IF(A112=A111,IF(F112&gt;0,F112,0),"")</f>
        <v>0</v>
      </c>
      <c r="H112" s="16" t="n">
        <f aca="false">IF(A112=A111,IF(F112&lt;0,-F112,0),"")</f>
        <v>10.25</v>
      </c>
    </row>
    <row r="113" customFormat="false" ht="15" hidden="false" customHeight="false" outlineLevel="0" collapsed="false">
      <c r="A113" s="14" t="s">
        <v>86</v>
      </c>
      <c r="B113" s="15" t="n">
        <v>46029</v>
      </c>
      <c r="C113" s="14" t="n">
        <v>2568.13</v>
      </c>
      <c r="D113" s="14" t="n">
        <v>2102833</v>
      </c>
      <c r="E113" s="16" t="n">
        <f aca="false">COUNTIFS($A$2:$A$1561,A113,$B$2:$B$1561,"&gt;"&amp;B113)+1</f>
        <v>149</v>
      </c>
      <c r="F113" s="16" t="n">
        <f aca="false">IF(A113=A112,C113-C112,"")</f>
        <v>-0.630000000000109</v>
      </c>
      <c r="G113" s="16" t="n">
        <f aca="false">IF(A113=A112,IF(F113&gt;0,F113,0),"")</f>
        <v>0</v>
      </c>
      <c r="H113" s="16" t="n">
        <f aca="false">IF(A113=A112,IF(F113&lt;0,-F113,0),"")</f>
        <v>0.630000000000109</v>
      </c>
    </row>
    <row r="114" customFormat="false" ht="15" hidden="false" customHeight="false" outlineLevel="0" collapsed="false">
      <c r="A114" s="14" t="s">
        <v>86</v>
      </c>
      <c r="B114" s="15" t="n">
        <v>46030</v>
      </c>
      <c r="C114" s="14" t="n">
        <v>2577.27</v>
      </c>
      <c r="D114" s="14" t="n">
        <v>2475784</v>
      </c>
      <c r="E114" s="16" t="n">
        <f aca="false">COUNTIFS($A$2:$A$1561,A114,$B$2:$B$1561,"&gt;"&amp;B114)+1</f>
        <v>148</v>
      </c>
      <c r="F114" s="16" t="n">
        <f aca="false">IF(A114=A113,C114-C113,"")</f>
        <v>9.13999999999987</v>
      </c>
      <c r="G114" s="16" t="n">
        <f aca="false">IF(A114=A113,IF(F114&gt;0,F114,0),"")</f>
        <v>9.13999999999987</v>
      </c>
      <c r="H114" s="16" t="n">
        <f aca="false">IF(A114=A113,IF(F114&lt;0,-F114,0),"")</f>
        <v>0</v>
      </c>
    </row>
    <row r="115" customFormat="false" ht="15" hidden="false" customHeight="false" outlineLevel="0" collapsed="false">
      <c r="A115" s="14" t="s">
        <v>86</v>
      </c>
      <c r="B115" s="15" t="n">
        <v>46031</v>
      </c>
      <c r="C115" s="14" t="n">
        <v>2583.09</v>
      </c>
      <c r="D115" s="14" t="n">
        <v>2400079</v>
      </c>
      <c r="E115" s="16" t="n">
        <f aca="false">COUNTIFS($A$2:$A$1561,A115,$B$2:$B$1561,"&gt;"&amp;B115)+1</f>
        <v>147</v>
      </c>
      <c r="F115" s="16" t="n">
        <f aca="false">IF(A115=A114,C115-C114,"")</f>
        <v>5.82000000000016</v>
      </c>
      <c r="G115" s="16" t="n">
        <f aca="false">IF(A115=A114,IF(F115&gt;0,F115,0),"")</f>
        <v>5.82000000000016</v>
      </c>
      <c r="H115" s="16" t="n">
        <f aca="false">IF(A115=A114,IF(F115&lt;0,-F115,0),"")</f>
        <v>0</v>
      </c>
    </row>
    <row r="116" customFormat="false" ht="15" hidden="false" customHeight="false" outlineLevel="0" collapsed="false">
      <c r="A116" s="14" t="s">
        <v>86</v>
      </c>
      <c r="B116" s="15" t="n">
        <v>46034</v>
      </c>
      <c r="C116" s="14" t="n">
        <v>2602.68</v>
      </c>
      <c r="D116" s="14" t="n">
        <v>1725304</v>
      </c>
      <c r="E116" s="16" t="n">
        <f aca="false">COUNTIFS($A$2:$A$1561,A116,$B$2:$B$1561,"&gt;"&amp;B116)+1</f>
        <v>146</v>
      </c>
      <c r="F116" s="16" t="n">
        <f aca="false">IF(A116=A115,C116-C115,"")</f>
        <v>19.5899999999997</v>
      </c>
      <c r="G116" s="16" t="n">
        <f aca="false">IF(A116=A115,IF(F116&gt;0,F116,0),"")</f>
        <v>19.5899999999997</v>
      </c>
      <c r="H116" s="16" t="n">
        <f aca="false">IF(A116=A115,IF(F116&lt;0,-F116,0),"")</f>
        <v>0</v>
      </c>
    </row>
    <row r="117" customFormat="false" ht="15" hidden="false" customHeight="false" outlineLevel="0" collapsed="false">
      <c r="A117" s="14" t="s">
        <v>86</v>
      </c>
      <c r="B117" s="15" t="n">
        <v>46035</v>
      </c>
      <c r="C117" s="14" t="n">
        <v>2614.36</v>
      </c>
      <c r="D117" s="14" t="n">
        <v>1509556</v>
      </c>
      <c r="E117" s="16" t="n">
        <f aca="false">COUNTIFS($A$2:$A$1561,A117,$B$2:$B$1561,"&gt;"&amp;B117)+1</f>
        <v>145</v>
      </c>
      <c r="F117" s="16" t="n">
        <f aca="false">IF(A117=A116,C117-C116,"")</f>
        <v>11.6800000000003</v>
      </c>
      <c r="G117" s="16" t="n">
        <f aca="false">IF(A117=A116,IF(F117&gt;0,F117,0),"")</f>
        <v>11.6800000000003</v>
      </c>
      <c r="H117" s="16" t="n">
        <f aca="false">IF(A117=A116,IF(F117&lt;0,-F117,0),"")</f>
        <v>0</v>
      </c>
    </row>
    <row r="118" customFormat="false" ht="15" hidden="false" customHeight="false" outlineLevel="0" collapsed="false">
      <c r="A118" s="14" t="s">
        <v>86</v>
      </c>
      <c r="B118" s="15" t="n">
        <v>46036</v>
      </c>
      <c r="C118" s="14" t="n">
        <v>2631.33</v>
      </c>
      <c r="D118" s="14" t="n">
        <v>1595743</v>
      </c>
      <c r="E118" s="16" t="n">
        <f aca="false">COUNTIFS($A$2:$A$1561,A118,$B$2:$B$1561,"&gt;"&amp;B118)+1</f>
        <v>144</v>
      </c>
      <c r="F118" s="16" t="n">
        <f aca="false">IF(A118=A117,C118-C117,"")</f>
        <v>16.9699999999998</v>
      </c>
      <c r="G118" s="16" t="n">
        <f aca="false">IF(A118=A117,IF(F118&gt;0,F118,0),"")</f>
        <v>16.9699999999998</v>
      </c>
      <c r="H118" s="16" t="n">
        <f aca="false">IF(A118=A117,IF(F118&lt;0,-F118,0),"")</f>
        <v>0</v>
      </c>
    </row>
    <row r="119" customFormat="false" ht="15" hidden="false" customHeight="false" outlineLevel="0" collapsed="false">
      <c r="A119" s="14" t="s">
        <v>86</v>
      </c>
      <c r="B119" s="15" t="n">
        <v>46037</v>
      </c>
      <c r="C119" s="14" t="n">
        <v>2651.56</v>
      </c>
      <c r="D119" s="14" t="n">
        <v>1987310</v>
      </c>
      <c r="E119" s="16" t="n">
        <f aca="false">COUNTIFS($A$2:$A$1561,A119,$B$2:$B$1561,"&gt;"&amp;B119)+1</f>
        <v>143</v>
      </c>
      <c r="F119" s="16" t="n">
        <f aca="false">IF(A119=A118,C119-C118,"")</f>
        <v>20.23</v>
      </c>
      <c r="G119" s="16" t="n">
        <f aca="false">IF(A119=A118,IF(F119&gt;0,F119,0),"")</f>
        <v>20.23</v>
      </c>
      <c r="H119" s="16" t="n">
        <f aca="false">IF(A119=A118,IF(F119&lt;0,-F119,0),"")</f>
        <v>0</v>
      </c>
    </row>
    <row r="120" customFormat="false" ht="15" hidden="false" customHeight="false" outlineLevel="0" collapsed="false">
      <c r="A120" s="14" t="s">
        <v>86</v>
      </c>
      <c r="B120" s="15" t="n">
        <v>46038</v>
      </c>
      <c r="C120" s="14" t="n">
        <v>2651.78</v>
      </c>
      <c r="D120" s="14" t="n">
        <v>1018383</v>
      </c>
      <c r="E120" s="16" t="n">
        <f aca="false">COUNTIFS($A$2:$A$1561,A120,$B$2:$B$1561,"&gt;"&amp;B120)+1</f>
        <v>142</v>
      </c>
      <c r="F120" s="16" t="n">
        <f aca="false">IF(A120=A119,C120-C119,"")</f>
        <v>0.220000000000255</v>
      </c>
      <c r="G120" s="16" t="n">
        <f aca="false">IF(A120=A119,IF(F120&gt;0,F120,0),"")</f>
        <v>0.220000000000255</v>
      </c>
      <c r="H120" s="16" t="n">
        <f aca="false">IF(A120=A119,IF(F120&lt;0,-F120,0),"")</f>
        <v>0</v>
      </c>
    </row>
    <row r="121" customFormat="false" ht="15" hidden="false" customHeight="false" outlineLevel="0" collapsed="false">
      <c r="A121" s="14" t="s">
        <v>86</v>
      </c>
      <c r="B121" s="15" t="n">
        <v>46041</v>
      </c>
      <c r="C121" s="14" t="n">
        <v>2641.15</v>
      </c>
      <c r="D121" s="14" t="n">
        <v>1775322</v>
      </c>
      <c r="E121" s="16" t="n">
        <f aca="false">COUNTIFS($A$2:$A$1561,A121,$B$2:$B$1561,"&gt;"&amp;B121)+1</f>
        <v>141</v>
      </c>
      <c r="F121" s="16" t="n">
        <f aca="false">IF(A121=A120,C121-C120,"")</f>
        <v>-10.6300000000001</v>
      </c>
      <c r="G121" s="16" t="n">
        <f aca="false">IF(A121=A120,IF(F121&gt;0,F121,0),"")</f>
        <v>0</v>
      </c>
      <c r="H121" s="16" t="n">
        <f aca="false">IF(A121=A120,IF(F121&lt;0,-F121,0),"")</f>
        <v>10.6300000000001</v>
      </c>
    </row>
    <row r="122" customFormat="false" ht="15" hidden="false" customHeight="false" outlineLevel="0" collapsed="false">
      <c r="A122" s="14" t="s">
        <v>86</v>
      </c>
      <c r="B122" s="15" t="n">
        <v>46042</v>
      </c>
      <c r="C122" s="14" t="n">
        <v>2655.21</v>
      </c>
      <c r="D122" s="14" t="n">
        <v>1542599</v>
      </c>
      <c r="E122" s="16" t="n">
        <f aca="false">COUNTIFS($A$2:$A$1561,A122,$B$2:$B$1561,"&gt;"&amp;B122)+1</f>
        <v>140</v>
      </c>
      <c r="F122" s="16" t="n">
        <f aca="false">IF(A122=A121,C122-C121,"")</f>
        <v>14.0599999999999</v>
      </c>
      <c r="G122" s="16" t="n">
        <f aca="false">IF(A122=A121,IF(F122&gt;0,F122,0),"")</f>
        <v>14.0599999999999</v>
      </c>
      <c r="H122" s="16" t="n">
        <f aca="false">IF(A122=A121,IF(F122&lt;0,-F122,0),"")</f>
        <v>0</v>
      </c>
    </row>
    <row r="123" customFormat="false" ht="15" hidden="false" customHeight="false" outlineLevel="0" collapsed="false">
      <c r="A123" s="14" t="s">
        <v>86</v>
      </c>
      <c r="B123" s="15" t="n">
        <v>46043</v>
      </c>
      <c r="C123" s="14" t="n">
        <v>2662.71</v>
      </c>
      <c r="D123" s="14" t="n">
        <v>1049194</v>
      </c>
      <c r="E123" s="16" t="n">
        <f aca="false">COUNTIFS($A$2:$A$1561,A123,$B$2:$B$1561,"&gt;"&amp;B123)+1</f>
        <v>139</v>
      </c>
      <c r="F123" s="16" t="n">
        <f aca="false">IF(A123=A122,C123-C122,"")</f>
        <v>7.5</v>
      </c>
      <c r="G123" s="16" t="n">
        <f aca="false">IF(A123=A122,IF(F123&gt;0,F123,0),"")</f>
        <v>7.5</v>
      </c>
      <c r="H123" s="16" t="n">
        <f aca="false">IF(A123=A122,IF(F123&lt;0,-F123,0),"")</f>
        <v>0</v>
      </c>
    </row>
    <row r="124" customFormat="false" ht="15" hidden="false" customHeight="false" outlineLevel="0" collapsed="false">
      <c r="A124" s="14" t="s">
        <v>86</v>
      </c>
      <c r="B124" s="15" t="n">
        <v>46044</v>
      </c>
      <c r="C124" s="14" t="n">
        <v>2643.89</v>
      </c>
      <c r="D124" s="14" t="n">
        <v>1071456</v>
      </c>
      <c r="E124" s="16" t="n">
        <f aca="false">COUNTIFS($A$2:$A$1561,A124,$B$2:$B$1561,"&gt;"&amp;B124)+1</f>
        <v>138</v>
      </c>
      <c r="F124" s="16" t="n">
        <f aca="false">IF(A124=A123,C124-C123,"")</f>
        <v>-18.8200000000002</v>
      </c>
      <c r="G124" s="16" t="n">
        <f aca="false">IF(A124=A123,IF(F124&gt;0,F124,0),"")</f>
        <v>0</v>
      </c>
      <c r="H124" s="16" t="n">
        <f aca="false">IF(A124=A123,IF(F124&lt;0,-F124,0),"")</f>
        <v>18.8200000000002</v>
      </c>
    </row>
    <row r="125" customFormat="false" ht="15" hidden="false" customHeight="false" outlineLevel="0" collapsed="false">
      <c r="A125" s="14" t="s">
        <v>86</v>
      </c>
      <c r="B125" s="15" t="n">
        <v>46045</v>
      </c>
      <c r="C125" s="14" t="n">
        <v>2634.46</v>
      </c>
      <c r="D125" s="14" t="n">
        <v>1139419</v>
      </c>
      <c r="E125" s="16" t="n">
        <f aca="false">COUNTIFS($A$2:$A$1561,A125,$B$2:$B$1561,"&gt;"&amp;B125)+1</f>
        <v>137</v>
      </c>
      <c r="F125" s="16" t="n">
        <f aca="false">IF(A125=A124,C125-C124,"")</f>
        <v>-9.42999999999984</v>
      </c>
      <c r="G125" s="16" t="n">
        <f aca="false">IF(A125=A124,IF(F125&gt;0,F125,0),"")</f>
        <v>0</v>
      </c>
      <c r="H125" s="16" t="n">
        <f aca="false">IF(A125=A124,IF(F125&lt;0,-F125,0),"")</f>
        <v>9.42999999999984</v>
      </c>
    </row>
    <row r="126" customFormat="false" ht="15" hidden="false" customHeight="false" outlineLevel="0" collapsed="false">
      <c r="A126" s="14" t="s">
        <v>86</v>
      </c>
      <c r="B126" s="15" t="n">
        <v>46048</v>
      </c>
      <c r="C126" s="14" t="n">
        <v>2637.78</v>
      </c>
      <c r="D126" s="14" t="n">
        <v>776748</v>
      </c>
      <c r="E126" s="16" t="n">
        <f aca="false">COUNTIFS($A$2:$A$1561,A126,$B$2:$B$1561,"&gt;"&amp;B126)+1</f>
        <v>136</v>
      </c>
      <c r="F126" s="16" t="n">
        <f aca="false">IF(A126=A125,C126-C125,"")</f>
        <v>3.32000000000016</v>
      </c>
      <c r="G126" s="16" t="n">
        <f aca="false">IF(A126=A125,IF(F126&gt;0,F126,0),"")</f>
        <v>3.32000000000016</v>
      </c>
      <c r="H126" s="16" t="n">
        <f aca="false">IF(A126=A125,IF(F126&lt;0,-F126,0),"")</f>
        <v>0</v>
      </c>
    </row>
    <row r="127" customFormat="false" ht="15" hidden="false" customHeight="false" outlineLevel="0" collapsed="false">
      <c r="A127" s="14" t="s">
        <v>86</v>
      </c>
      <c r="B127" s="15" t="n">
        <v>46049</v>
      </c>
      <c r="C127" s="14" t="n">
        <v>2626.45</v>
      </c>
      <c r="D127" s="14" t="n">
        <v>1887899</v>
      </c>
      <c r="E127" s="16" t="n">
        <f aca="false">COUNTIFS($A$2:$A$1561,A127,$B$2:$B$1561,"&gt;"&amp;B127)+1</f>
        <v>135</v>
      </c>
      <c r="F127" s="16" t="n">
        <f aca="false">IF(A127=A126,C127-C126,"")</f>
        <v>-11.3300000000004</v>
      </c>
      <c r="G127" s="16" t="n">
        <f aca="false">IF(A127=A126,IF(F127&gt;0,F127,0),"")</f>
        <v>0</v>
      </c>
      <c r="H127" s="16" t="n">
        <f aca="false">IF(A127=A126,IF(F127&lt;0,-F127,0),"")</f>
        <v>11.3300000000004</v>
      </c>
    </row>
    <row r="128" customFormat="false" ht="15" hidden="false" customHeight="false" outlineLevel="0" collapsed="false">
      <c r="A128" s="14" t="s">
        <v>86</v>
      </c>
      <c r="B128" s="15" t="n">
        <v>46050</v>
      </c>
      <c r="C128" s="14" t="n">
        <v>2637.63</v>
      </c>
      <c r="D128" s="14" t="n">
        <v>628457</v>
      </c>
      <c r="E128" s="16" t="n">
        <f aca="false">COUNTIFS($A$2:$A$1561,A128,$B$2:$B$1561,"&gt;"&amp;B128)+1</f>
        <v>134</v>
      </c>
      <c r="F128" s="16" t="n">
        <f aca="false">IF(A128=A127,C128-C127,"")</f>
        <v>11.1800000000003</v>
      </c>
      <c r="G128" s="16" t="n">
        <f aca="false">IF(A128=A127,IF(F128&gt;0,F128,0),"")</f>
        <v>11.1800000000003</v>
      </c>
      <c r="H128" s="16" t="n">
        <f aca="false">IF(A128=A127,IF(F128&lt;0,-F128,0),"")</f>
        <v>0</v>
      </c>
    </row>
    <row r="129" customFormat="false" ht="15" hidden="false" customHeight="false" outlineLevel="0" collapsed="false">
      <c r="A129" s="14" t="s">
        <v>86</v>
      </c>
      <c r="B129" s="15" t="n">
        <v>46051</v>
      </c>
      <c r="C129" s="14" t="n">
        <v>2634.66</v>
      </c>
      <c r="D129" s="14" t="n">
        <v>1585222</v>
      </c>
      <c r="E129" s="16" t="n">
        <f aca="false">COUNTIFS($A$2:$A$1561,A129,$B$2:$B$1561,"&gt;"&amp;B129)+1</f>
        <v>133</v>
      </c>
      <c r="F129" s="16" t="n">
        <f aca="false">IF(A129=A128,C129-C128,"")</f>
        <v>-2.97000000000025</v>
      </c>
      <c r="G129" s="16" t="n">
        <f aca="false">IF(A129=A128,IF(F129&gt;0,F129,0),"")</f>
        <v>0</v>
      </c>
      <c r="H129" s="16" t="n">
        <f aca="false">IF(A129=A128,IF(F129&lt;0,-F129,0),"")</f>
        <v>2.97000000000025</v>
      </c>
    </row>
    <row r="130" customFormat="false" ht="15" hidden="false" customHeight="false" outlineLevel="0" collapsed="false">
      <c r="A130" s="14" t="s">
        <v>86</v>
      </c>
      <c r="B130" s="15" t="n">
        <v>46052</v>
      </c>
      <c r="C130" s="14" t="n">
        <v>2632.09</v>
      </c>
      <c r="D130" s="14" t="n">
        <v>913668</v>
      </c>
      <c r="E130" s="16" t="n">
        <f aca="false">COUNTIFS($A$2:$A$1561,A130,$B$2:$B$1561,"&gt;"&amp;B130)+1</f>
        <v>132</v>
      </c>
      <c r="F130" s="16" t="n">
        <f aca="false">IF(A130=A129,C130-C129,"")</f>
        <v>-2.56999999999971</v>
      </c>
      <c r="G130" s="16" t="n">
        <f aca="false">IF(A130=A129,IF(F130&gt;0,F130,0),"")</f>
        <v>0</v>
      </c>
      <c r="H130" s="16" t="n">
        <f aca="false">IF(A130=A129,IF(F130&lt;0,-F130,0),"")</f>
        <v>2.56999999999971</v>
      </c>
    </row>
    <row r="131" customFormat="false" ht="15" hidden="false" customHeight="false" outlineLevel="0" collapsed="false">
      <c r="A131" s="14" t="s">
        <v>86</v>
      </c>
      <c r="B131" s="15" t="n">
        <v>46055</v>
      </c>
      <c r="C131" s="14" t="n">
        <v>2629.73</v>
      </c>
      <c r="D131" s="14" t="n">
        <v>2309676</v>
      </c>
      <c r="E131" s="16" t="n">
        <f aca="false">COUNTIFS($A$2:$A$1561,A131,$B$2:$B$1561,"&gt;"&amp;B131)+1</f>
        <v>131</v>
      </c>
      <c r="F131" s="16" t="n">
        <f aca="false">IF(A131=A130,C131-C130,"")</f>
        <v>-2.36000000000013</v>
      </c>
      <c r="G131" s="16" t="n">
        <f aca="false">IF(A131=A130,IF(F131&gt;0,F131,0),"")</f>
        <v>0</v>
      </c>
      <c r="H131" s="16" t="n">
        <f aca="false">IF(A131=A130,IF(F131&lt;0,-F131,0),"")</f>
        <v>2.36000000000013</v>
      </c>
    </row>
    <row r="132" customFormat="false" ht="15" hidden="false" customHeight="false" outlineLevel="0" collapsed="false">
      <c r="A132" s="14" t="s">
        <v>86</v>
      </c>
      <c r="B132" s="15" t="n">
        <v>46056</v>
      </c>
      <c r="C132" s="14" t="n">
        <v>2635.13</v>
      </c>
      <c r="D132" s="14" t="n">
        <v>1891045</v>
      </c>
      <c r="E132" s="16" t="n">
        <f aca="false">COUNTIFS($A$2:$A$1561,A132,$B$2:$B$1561,"&gt;"&amp;B132)+1</f>
        <v>130</v>
      </c>
      <c r="F132" s="16" t="n">
        <f aca="false">IF(A132=A131,C132-C131,"")</f>
        <v>5.40000000000009</v>
      </c>
      <c r="G132" s="16" t="n">
        <f aca="false">IF(A132=A131,IF(F132&gt;0,F132,0),"")</f>
        <v>5.40000000000009</v>
      </c>
      <c r="H132" s="16" t="n">
        <f aca="false">IF(A132=A131,IF(F132&lt;0,-F132,0),"")</f>
        <v>0</v>
      </c>
    </row>
    <row r="133" customFormat="false" ht="15" hidden="false" customHeight="false" outlineLevel="0" collapsed="false">
      <c r="A133" s="14" t="s">
        <v>86</v>
      </c>
      <c r="B133" s="15" t="n">
        <v>46057</v>
      </c>
      <c r="C133" s="14" t="n">
        <v>2653.47</v>
      </c>
      <c r="D133" s="14" t="n">
        <v>2031189</v>
      </c>
      <c r="E133" s="16" t="n">
        <f aca="false">COUNTIFS($A$2:$A$1561,A133,$B$2:$B$1561,"&gt;"&amp;B133)+1</f>
        <v>129</v>
      </c>
      <c r="F133" s="16" t="n">
        <f aca="false">IF(A133=A132,C133-C132,"")</f>
        <v>18.3399999999997</v>
      </c>
      <c r="G133" s="16" t="n">
        <f aca="false">IF(A133=A132,IF(F133&gt;0,F133,0),"")</f>
        <v>18.3399999999997</v>
      </c>
      <c r="H133" s="16" t="n">
        <f aca="false">IF(A133=A132,IF(F133&lt;0,-F133,0),"")</f>
        <v>0</v>
      </c>
    </row>
    <row r="134" customFormat="false" ht="15" hidden="false" customHeight="false" outlineLevel="0" collapsed="false">
      <c r="A134" s="14" t="s">
        <v>86</v>
      </c>
      <c r="B134" s="15" t="n">
        <v>46058</v>
      </c>
      <c r="C134" s="14" t="n">
        <v>2649.19</v>
      </c>
      <c r="D134" s="14" t="n">
        <v>511792</v>
      </c>
      <c r="E134" s="16" t="n">
        <f aca="false">COUNTIFS($A$2:$A$1561,A134,$B$2:$B$1561,"&gt;"&amp;B134)+1</f>
        <v>128</v>
      </c>
      <c r="F134" s="16" t="n">
        <f aca="false">IF(A134=A133,C134-C133,"")</f>
        <v>-4.27999999999975</v>
      </c>
      <c r="G134" s="16" t="n">
        <f aca="false">IF(A134=A133,IF(F134&gt;0,F134,0),"")</f>
        <v>0</v>
      </c>
      <c r="H134" s="16" t="n">
        <f aca="false">IF(A134=A133,IF(F134&lt;0,-F134,0),"")</f>
        <v>4.27999999999975</v>
      </c>
    </row>
    <row r="135" customFormat="false" ht="15" hidden="false" customHeight="false" outlineLevel="0" collapsed="false">
      <c r="A135" s="14" t="s">
        <v>86</v>
      </c>
      <c r="B135" s="15" t="n">
        <v>46059</v>
      </c>
      <c r="C135" s="14" t="n">
        <v>2643.55</v>
      </c>
      <c r="D135" s="14" t="n">
        <v>2006950</v>
      </c>
      <c r="E135" s="16" t="n">
        <f aca="false">COUNTIFS($A$2:$A$1561,A135,$B$2:$B$1561,"&gt;"&amp;B135)+1</f>
        <v>127</v>
      </c>
      <c r="F135" s="16" t="n">
        <f aca="false">IF(A135=A134,C135-C134,"")</f>
        <v>-5.63999999999987</v>
      </c>
      <c r="G135" s="16" t="n">
        <f aca="false">IF(A135=A134,IF(F135&gt;0,F135,0),"")</f>
        <v>0</v>
      </c>
      <c r="H135" s="16" t="n">
        <f aca="false">IF(A135=A134,IF(F135&lt;0,-F135,0),"")</f>
        <v>5.63999999999987</v>
      </c>
    </row>
    <row r="136" customFormat="false" ht="15" hidden="false" customHeight="false" outlineLevel="0" collapsed="false">
      <c r="A136" s="14" t="s">
        <v>86</v>
      </c>
      <c r="B136" s="15" t="n">
        <v>46062</v>
      </c>
      <c r="C136" s="14" t="n">
        <v>2661.8</v>
      </c>
      <c r="D136" s="14" t="n">
        <v>2406860</v>
      </c>
      <c r="E136" s="16" t="n">
        <f aca="false">COUNTIFS($A$2:$A$1561,A136,$B$2:$B$1561,"&gt;"&amp;B136)+1</f>
        <v>126</v>
      </c>
      <c r="F136" s="16" t="n">
        <f aca="false">IF(A136=A135,C136-C135,"")</f>
        <v>18.25</v>
      </c>
      <c r="G136" s="16" t="n">
        <f aca="false">IF(A136=A135,IF(F136&gt;0,F136,0),"")</f>
        <v>18.25</v>
      </c>
      <c r="H136" s="16" t="n">
        <f aca="false">IF(A136=A135,IF(F136&lt;0,-F136,0),"")</f>
        <v>0</v>
      </c>
    </row>
    <row r="137" customFormat="false" ht="15" hidden="false" customHeight="false" outlineLevel="0" collapsed="false">
      <c r="A137" s="14" t="s">
        <v>86</v>
      </c>
      <c r="B137" s="15" t="n">
        <v>46063</v>
      </c>
      <c r="C137" s="14" t="n">
        <v>2659.36</v>
      </c>
      <c r="D137" s="14" t="n">
        <v>1995031</v>
      </c>
      <c r="E137" s="16" t="n">
        <f aca="false">COUNTIFS($A$2:$A$1561,A137,$B$2:$B$1561,"&gt;"&amp;B137)+1</f>
        <v>125</v>
      </c>
      <c r="F137" s="16" t="n">
        <f aca="false">IF(A137=A136,C137-C136,"")</f>
        <v>-2.44000000000005</v>
      </c>
      <c r="G137" s="16" t="n">
        <f aca="false">IF(A137=A136,IF(F137&gt;0,F137,0),"")</f>
        <v>0</v>
      </c>
      <c r="H137" s="16" t="n">
        <f aca="false">IF(A137=A136,IF(F137&lt;0,-F137,0),"")</f>
        <v>2.44000000000005</v>
      </c>
    </row>
    <row r="138" customFormat="false" ht="15" hidden="false" customHeight="false" outlineLevel="0" collapsed="false">
      <c r="A138" s="14" t="s">
        <v>86</v>
      </c>
      <c r="B138" s="15" t="n">
        <v>46064</v>
      </c>
      <c r="C138" s="14" t="n">
        <v>2663</v>
      </c>
      <c r="D138" s="14" t="n">
        <v>1706505</v>
      </c>
      <c r="E138" s="16" t="n">
        <f aca="false">COUNTIFS($A$2:$A$1561,A138,$B$2:$B$1561,"&gt;"&amp;B138)+1</f>
        <v>124</v>
      </c>
      <c r="F138" s="16" t="n">
        <f aca="false">IF(A138=A137,C138-C137,"")</f>
        <v>3.63999999999987</v>
      </c>
      <c r="G138" s="16" t="n">
        <f aca="false">IF(A138=A137,IF(F138&gt;0,F138,0),"")</f>
        <v>3.63999999999987</v>
      </c>
      <c r="H138" s="16" t="n">
        <f aca="false">IF(A138=A137,IF(F138&lt;0,-F138,0),"")</f>
        <v>0</v>
      </c>
    </row>
    <row r="139" customFormat="false" ht="15" hidden="false" customHeight="false" outlineLevel="0" collapsed="false">
      <c r="A139" s="14" t="s">
        <v>86</v>
      </c>
      <c r="B139" s="15" t="n">
        <v>46065</v>
      </c>
      <c r="C139" s="14" t="n">
        <v>2651.04</v>
      </c>
      <c r="D139" s="14" t="n">
        <v>938843</v>
      </c>
      <c r="E139" s="16" t="n">
        <f aca="false">COUNTIFS($A$2:$A$1561,A139,$B$2:$B$1561,"&gt;"&amp;B139)+1</f>
        <v>123</v>
      </c>
      <c r="F139" s="16" t="n">
        <f aca="false">IF(A139=A138,C139-C138,"")</f>
        <v>-11.96</v>
      </c>
      <c r="G139" s="16" t="n">
        <f aca="false">IF(A139=A138,IF(F139&gt;0,F139,0),"")</f>
        <v>0</v>
      </c>
      <c r="H139" s="16" t="n">
        <f aca="false">IF(A139=A138,IF(F139&lt;0,-F139,0),"")</f>
        <v>11.96</v>
      </c>
    </row>
    <row r="140" customFormat="false" ht="15" hidden="false" customHeight="false" outlineLevel="0" collapsed="false">
      <c r="A140" s="14" t="s">
        <v>86</v>
      </c>
      <c r="B140" s="15" t="n">
        <v>46066</v>
      </c>
      <c r="C140" s="14" t="n">
        <v>2649.41</v>
      </c>
      <c r="D140" s="14" t="n">
        <v>558049</v>
      </c>
      <c r="E140" s="16" t="n">
        <f aca="false">COUNTIFS($A$2:$A$1561,A140,$B$2:$B$1561,"&gt;"&amp;B140)+1</f>
        <v>122</v>
      </c>
      <c r="F140" s="16" t="n">
        <f aca="false">IF(A140=A139,C140-C139,"")</f>
        <v>-1.63000000000011</v>
      </c>
      <c r="G140" s="16" t="n">
        <f aca="false">IF(A140=A139,IF(F140&gt;0,F140,0),"")</f>
        <v>0</v>
      </c>
      <c r="H140" s="16" t="n">
        <f aca="false">IF(A140=A139,IF(F140&lt;0,-F140,0),"")</f>
        <v>1.63000000000011</v>
      </c>
    </row>
    <row r="141" customFormat="false" ht="15" hidden="false" customHeight="false" outlineLevel="0" collapsed="false">
      <c r="A141" s="14" t="s">
        <v>86</v>
      </c>
      <c r="B141" s="15" t="n">
        <v>46069</v>
      </c>
      <c r="C141" s="14" t="n">
        <v>2643.03</v>
      </c>
      <c r="D141" s="14" t="n">
        <v>1858283</v>
      </c>
      <c r="E141" s="16" t="n">
        <f aca="false">COUNTIFS($A$2:$A$1561,A141,$B$2:$B$1561,"&gt;"&amp;B141)+1</f>
        <v>121</v>
      </c>
      <c r="F141" s="16" t="n">
        <f aca="false">IF(A141=A140,C141-C140,"")</f>
        <v>-6.37999999999965</v>
      </c>
      <c r="G141" s="16" t="n">
        <f aca="false">IF(A141=A140,IF(F141&gt;0,F141,0),"")</f>
        <v>0</v>
      </c>
      <c r="H141" s="16" t="n">
        <f aca="false">IF(A141=A140,IF(F141&lt;0,-F141,0),"")</f>
        <v>6.37999999999965</v>
      </c>
    </row>
    <row r="142" customFormat="false" ht="15" hidden="false" customHeight="false" outlineLevel="0" collapsed="false">
      <c r="A142" s="14" t="s">
        <v>86</v>
      </c>
      <c r="B142" s="15" t="n">
        <v>46070</v>
      </c>
      <c r="C142" s="14" t="n">
        <v>2639.9</v>
      </c>
      <c r="D142" s="14" t="n">
        <v>830089</v>
      </c>
      <c r="E142" s="16" t="n">
        <f aca="false">COUNTIFS($A$2:$A$1561,A142,$B$2:$B$1561,"&gt;"&amp;B142)+1</f>
        <v>120</v>
      </c>
      <c r="F142" s="16" t="n">
        <f aca="false">IF(A142=A141,C142-C141,"")</f>
        <v>-3.13000000000011</v>
      </c>
      <c r="G142" s="16" t="n">
        <f aca="false">IF(A142=A141,IF(F142&gt;0,F142,0),"")</f>
        <v>0</v>
      </c>
      <c r="H142" s="16" t="n">
        <f aca="false">IF(A142=A141,IF(F142&lt;0,-F142,0),"")</f>
        <v>3.13000000000011</v>
      </c>
    </row>
    <row r="143" customFormat="false" ht="15" hidden="false" customHeight="false" outlineLevel="0" collapsed="false">
      <c r="A143" s="14" t="s">
        <v>86</v>
      </c>
      <c r="B143" s="15" t="n">
        <v>46071</v>
      </c>
      <c r="C143" s="14" t="n">
        <v>2639.78</v>
      </c>
      <c r="D143" s="14" t="n">
        <v>755255</v>
      </c>
      <c r="E143" s="16" t="n">
        <f aca="false">COUNTIFS($A$2:$A$1561,A143,$B$2:$B$1561,"&gt;"&amp;B143)+1</f>
        <v>119</v>
      </c>
      <c r="F143" s="16" t="n">
        <f aca="false">IF(A143=A142,C143-C142,"")</f>
        <v>-0.119999999999891</v>
      </c>
      <c r="G143" s="16" t="n">
        <f aca="false">IF(A143=A142,IF(F143&gt;0,F143,0),"")</f>
        <v>0</v>
      </c>
      <c r="H143" s="16" t="n">
        <f aca="false">IF(A143=A142,IF(F143&lt;0,-F143,0),"")</f>
        <v>0.119999999999891</v>
      </c>
    </row>
    <row r="144" customFormat="false" ht="15" hidden="false" customHeight="false" outlineLevel="0" collapsed="false">
      <c r="A144" s="14" t="s">
        <v>86</v>
      </c>
      <c r="B144" s="15" t="n">
        <v>46072</v>
      </c>
      <c r="C144" s="14" t="n">
        <v>2647.02</v>
      </c>
      <c r="D144" s="14" t="n">
        <v>553932</v>
      </c>
      <c r="E144" s="16" t="n">
        <f aca="false">COUNTIFS($A$2:$A$1561,A144,$B$2:$B$1561,"&gt;"&amp;B144)+1</f>
        <v>118</v>
      </c>
      <c r="F144" s="16" t="n">
        <f aca="false">IF(A144=A143,C144-C143,"")</f>
        <v>7.23999999999978</v>
      </c>
      <c r="G144" s="16" t="n">
        <f aca="false">IF(A144=A143,IF(F144&gt;0,F144,0),"")</f>
        <v>7.23999999999978</v>
      </c>
      <c r="H144" s="16" t="n">
        <f aca="false">IF(A144=A143,IF(F144&lt;0,-F144,0),"")</f>
        <v>0</v>
      </c>
    </row>
    <row r="145" customFormat="false" ht="15" hidden="false" customHeight="false" outlineLevel="0" collapsed="false">
      <c r="A145" s="14" t="s">
        <v>86</v>
      </c>
      <c r="B145" s="15" t="n">
        <v>46073</v>
      </c>
      <c r="C145" s="14" t="n">
        <v>2643.4</v>
      </c>
      <c r="D145" s="14" t="n">
        <v>1628783</v>
      </c>
      <c r="E145" s="16" t="n">
        <f aca="false">COUNTIFS($A$2:$A$1561,A145,$B$2:$B$1561,"&gt;"&amp;B145)+1</f>
        <v>117</v>
      </c>
      <c r="F145" s="16" t="n">
        <f aca="false">IF(A145=A144,C145-C144,"")</f>
        <v>-3.61999999999989</v>
      </c>
      <c r="G145" s="16" t="n">
        <f aca="false">IF(A145=A144,IF(F145&gt;0,F145,0),"")</f>
        <v>0</v>
      </c>
      <c r="H145" s="16" t="n">
        <f aca="false">IF(A145=A144,IF(F145&lt;0,-F145,0),"")</f>
        <v>3.61999999999989</v>
      </c>
    </row>
    <row r="146" customFormat="false" ht="15" hidden="false" customHeight="false" outlineLevel="0" collapsed="false">
      <c r="A146" s="14" t="s">
        <v>86</v>
      </c>
      <c r="B146" s="15" t="n">
        <v>46076</v>
      </c>
      <c r="C146" s="14" t="n">
        <v>2622.32</v>
      </c>
      <c r="D146" s="14" t="n">
        <v>1785499</v>
      </c>
      <c r="E146" s="16" t="n">
        <f aca="false">COUNTIFS($A$2:$A$1561,A146,$B$2:$B$1561,"&gt;"&amp;B146)+1</f>
        <v>116</v>
      </c>
      <c r="F146" s="16" t="n">
        <f aca="false">IF(A146=A145,C146-C145,"")</f>
        <v>-21.0799999999999</v>
      </c>
      <c r="G146" s="16" t="n">
        <f aca="false">IF(A146=A145,IF(F146&gt;0,F146,0),"")</f>
        <v>0</v>
      </c>
      <c r="H146" s="16" t="n">
        <f aca="false">IF(A146=A145,IF(F146&lt;0,-F146,0),"")</f>
        <v>21.0799999999999</v>
      </c>
    </row>
    <row r="147" customFormat="false" ht="15" hidden="false" customHeight="false" outlineLevel="0" collapsed="false">
      <c r="A147" s="14" t="s">
        <v>86</v>
      </c>
      <c r="B147" s="15" t="n">
        <v>46077</v>
      </c>
      <c r="C147" s="14" t="n">
        <v>2606.54</v>
      </c>
      <c r="D147" s="14" t="n">
        <v>1423396</v>
      </c>
      <c r="E147" s="16" t="n">
        <f aca="false">COUNTIFS($A$2:$A$1561,A147,$B$2:$B$1561,"&gt;"&amp;B147)+1</f>
        <v>115</v>
      </c>
      <c r="F147" s="16" t="n">
        <f aca="false">IF(A147=A146,C147-C146,"")</f>
        <v>-15.7800000000002</v>
      </c>
      <c r="G147" s="16" t="n">
        <f aca="false">IF(A147=A146,IF(F147&gt;0,F147,0),"")</f>
        <v>0</v>
      </c>
      <c r="H147" s="16" t="n">
        <f aca="false">IF(A147=A146,IF(F147&lt;0,-F147,0),"")</f>
        <v>15.7800000000002</v>
      </c>
    </row>
    <row r="148" customFormat="false" ht="15" hidden="false" customHeight="false" outlineLevel="0" collapsed="false">
      <c r="A148" s="14" t="s">
        <v>86</v>
      </c>
      <c r="B148" s="15" t="n">
        <v>46078</v>
      </c>
      <c r="C148" s="14" t="n">
        <v>2586.85</v>
      </c>
      <c r="D148" s="14" t="n">
        <v>1258207</v>
      </c>
      <c r="E148" s="16" t="n">
        <f aca="false">COUNTIFS($A$2:$A$1561,A148,$B$2:$B$1561,"&gt;"&amp;B148)+1</f>
        <v>114</v>
      </c>
      <c r="F148" s="16" t="n">
        <f aca="false">IF(A148=A147,C148-C147,"")</f>
        <v>-19.6900000000001</v>
      </c>
      <c r="G148" s="16" t="n">
        <f aca="false">IF(A148=A147,IF(F148&gt;0,F148,0),"")</f>
        <v>0</v>
      </c>
      <c r="H148" s="16" t="n">
        <f aca="false">IF(A148=A147,IF(F148&lt;0,-F148,0),"")</f>
        <v>19.6900000000001</v>
      </c>
    </row>
    <row r="149" customFormat="false" ht="15" hidden="false" customHeight="false" outlineLevel="0" collapsed="false">
      <c r="A149" s="14" t="s">
        <v>86</v>
      </c>
      <c r="B149" s="15" t="n">
        <v>46079</v>
      </c>
      <c r="C149" s="14" t="n">
        <v>2574.82</v>
      </c>
      <c r="D149" s="14" t="n">
        <v>1153691</v>
      </c>
      <c r="E149" s="16" t="n">
        <f aca="false">COUNTIFS($A$2:$A$1561,A149,$B$2:$B$1561,"&gt;"&amp;B149)+1</f>
        <v>113</v>
      </c>
      <c r="F149" s="16" t="n">
        <f aca="false">IF(A149=A148,C149-C148,"")</f>
        <v>-12.0299999999997</v>
      </c>
      <c r="G149" s="16" t="n">
        <f aca="false">IF(A149=A148,IF(F149&gt;0,F149,0),"")</f>
        <v>0</v>
      </c>
      <c r="H149" s="16" t="n">
        <f aca="false">IF(A149=A148,IF(F149&lt;0,-F149,0),"")</f>
        <v>12.0299999999997</v>
      </c>
    </row>
    <row r="150" customFormat="false" ht="15" hidden="false" customHeight="false" outlineLevel="0" collapsed="false">
      <c r="A150" s="14" t="s">
        <v>86</v>
      </c>
      <c r="B150" s="15" t="n">
        <v>46080</v>
      </c>
      <c r="C150" s="14" t="n">
        <v>2588.32</v>
      </c>
      <c r="D150" s="14" t="n">
        <v>1258252</v>
      </c>
      <c r="E150" s="16" t="n">
        <f aca="false">COUNTIFS($A$2:$A$1561,A150,$B$2:$B$1561,"&gt;"&amp;B150)+1</f>
        <v>112</v>
      </c>
      <c r="F150" s="16" t="n">
        <f aca="false">IF(A150=A149,C150-C149,"")</f>
        <v>13.5</v>
      </c>
      <c r="G150" s="16" t="n">
        <f aca="false">IF(A150=A149,IF(F150&gt;0,F150,0),"")</f>
        <v>13.5</v>
      </c>
      <c r="H150" s="16" t="n">
        <f aca="false">IF(A150=A149,IF(F150&lt;0,-F150,0),"")</f>
        <v>0</v>
      </c>
    </row>
    <row r="151" customFormat="false" ht="15" hidden="false" customHeight="false" outlineLevel="0" collapsed="false">
      <c r="A151" s="14" t="s">
        <v>86</v>
      </c>
      <c r="B151" s="15" t="n">
        <v>46083</v>
      </c>
      <c r="C151" s="14" t="n">
        <v>2601.46</v>
      </c>
      <c r="D151" s="14" t="n">
        <v>2163848</v>
      </c>
      <c r="E151" s="16" t="n">
        <f aca="false">COUNTIFS($A$2:$A$1561,A151,$B$2:$B$1561,"&gt;"&amp;B151)+1</f>
        <v>111</v>
      </c>
      <c r="F151" s="16" t="n">
        <f aca="false">IF(A151=A150,C151-C150,"")</f>
        <v>13.1399999999999</v>
      </c>
      <c r="G151" s="16" t="n">
        <f aca="false">IF(A151=A150,IF(F151&gt;0,F151,0),"")</f>
        <v>13.1399999999999</v>
      </c>
      <c r="H151" s="16" t="n">
        <f aca="false">IF(A151=A150,IF(F151&lt;0,-F151,0),"")</f>
        <v>0</v>
      </c>
    </row>
    <row r="152" customFormat="false" ht="15" hidden="false" customHeight="false" outlineLevel="0" collapsed="false">
      <c r="A152" s="14" t="s">
        <v>86</v>
      </c>
      <c r="B152" s="15" t="n">
        <v>46084</v>
      </c>
      <c r="C152" s="14" t="n">
        <v>2591.26</v>
      </c>
      <c r="D152" s="14" t="n">
        <v>663812</v>
      </c>
      <c r="E152" s="16" t="n">
        <f aca="false">COUNTIFS($A$2:$A$1561,A152,$B$2:$B$1561,"&gt;"&amp;B152)+1</f>
        <v>110</v>
      </c>
      <c r="F152" s="16" t="n">
        <f aca="false">IF(A152=A151,C152-C151,"")</f>
        <v>-10.1999999999998</v>
      </c>
      <c r="G152" s="16" t="n">
        <f aca="false">IF(A152=A151,IF(F152&gt;0,F152,0),"")</f>
        <v>0</v>
      </c>
      <c r="H152" s="16" t="n">
        <f aca="false">IF(A152=A151,IF(F152&lt;0,-F152,0),"")</f>
        <v>10.1999999999998</v>
      </c>
    </row>
    <row r="153" customFormat="false" ht="15" hidden="false" customHeight="false" outlineLevel="0" collapsed="false">
      <c r="A153" s="14" t="s">
        <v>86</v>
      </c>
      <c r="B153" s="15" t="n">
        <v>46085</v>
      </c>
      <c r="C153" s="14" t="n">
        <v>2570.24</v>
      </c>
      <c r="D153" s="14" t="n">
        <v>1578838</v>
      </c>
      <c r="E153" s="16" t="n">
        <f aca="false">COUNTIFS($A$2:$A$1561,A153,$B$2:$B$1561,"&gt;"&amp;B153)+1</f>
        <v>109</v>
      </c>
      <c r="F153" s="16" t="n">
        <f aca="false">IF(A153=A152,C153-C152,"")</f>
        <v>-21.0200000000004</v>
      </c>
      <c r="G153" s="16" t="n">
        <f aca="false">IF(A153=A152,IF(F153&gt;0,F153,0),"")</f>
        <v>0</v>
      </c>
      <c r="H153" s="16" t="n">
        <f aca="false">IF(A153=A152,IF(F153&lt;0,-F153,0),"")</f>
        <v>21.0200000000004</v>
      </c>
    </row>
    <row r="154" customFormat="false" ht="15" hidden="false" customHeight="false" outlineLevel="0" collapsed="false">
      <c r="A154" s="14" t="s">
        <v>86</v>
      </c>
      <c r="B154" s="15" t="n">
        <v>46086</v>
      </c>
      <c r="C154" s="14" t="n">
        <v>2594.76</v>
      </c>
      <c r="D154" s="14" t="n">
        <v>1199920</v>
      </c>
      <c r="E154" s="16" t="n">
        <f aca="false">COUNTIFS($A$2:$A$1561,A154,$B$2:$B$1561,"&gt;"&amp;B154)+1</f>
        <v>108</v>
      </c>
      <c r="F154" s="16" t="n">
        <f aca="false">IF(A154=A153,C154-C153,"")</f>
        <v>24.5200000000004</v>
      </c>
      <c r="G154" s="16" t="n">
        <f aca="false">IF(A154=A153,IF(F154&gt;0,F154,0),"")</f>
        <v>24.5200000000004</v>
      </c>
      <c r="H154" s="16" t="n">
        <f aca="false">IF(A154=A153,IF(F154&lt;0,-F154,0),"")</f>
        <v>0</v>
      </c>
    </row>
    <row r="155" customFormat="false" ht="15" hidden="false" customHeight="false" outlineLevel="0" collapsed="false">
      <c r="A155" s="14" t="s">
        <v>86</v>
      </c>
      <c r="B155" s="15" t="n">
        <v>46087</v>
      </c>
      <c r="C155" s="14" t="n">
        <v>2603.17</v>
      </c>
      <c r="D155" s="14" t="n">
        <v>2062466</v>
      </c>
      <c r="E155" s="16" t="n">
        <f aca="false">COUNTIFS($A$2:$A$1561,A155,$B$2:$B$1561,"&gt;"&amp;B155)+1</f>
        <v>107</v>
      </c>
      <c r="F155" s="16" t="n">
        <f aca="false">IF(A155=A154,C155-C154,"")</f>
        <v>8.40999999999985</v>
      </c>
      <c r="G155" s="16" t="n">
        <f aca="false">IF(A155=A154,IF(F155&gt;0,F155,0),"")</f>
        <v>8.40999999999985</v>
      </c>
      <c r="H155" s="16" t="n">
        <f aca="false">IF(A155=A154,IF(F155&lt;0,-F155,0),"")</f>
        <v>0</v>
      </c>
    </row>
    <row r="156" customFormat="false" ht="15" hidden="false" customHeight="false" outlineLevel="0" collapsed="false">
      <c r="A156" s="14" t="s">
        <v>86</v>
      </c>
      <c r="B156" s="15" t="n">
        <v>46090</v>
      </c>
      <c r="C156" s="14" t="n">
        <v>2611.69</v>
      </c>
      <c r="D156" s="14" t="n">
        <v>2008466</v>
      </c>
      <c r="E156" s="16" t="n">
        <f aca="false">COUNTIFS($A$2:$A$1561,A156,$B$2:$B$1561,"&gt;"&amp;B156)+1</f>
        <v>106</v>
      </c>
      <c r="F156" s="16" t="n">
        <f aca="false">IF(A156=A155,C156-C155,"")</f>
        <v>8.51999999999998</v>
      </c>
      <c r="G156" s="16" t="n">
        <f aca="false">IF(A156=A155,IF(F156&gt;0,F156,0),"")</f>
        <v>8.51999999999998</v>
      </c>
      <c r="H156" s="16" t="n">
        <f aca="false">IF(A156=A155,IF(F156&lt;0,-F156,0),"")</f>
        <v>0</v>
      </c>
    </row>
    <row r="157" customFormat="false" ht="15" hidden="false" customHeight="false" outlineLevel="0" collapsed="false">
      <c r="A157" s="14" t="s">
        <v>86</v>
      </c>
      <c r="B157" s="15" t="n">
        <v>46091</v>
      </c>
      <c r="C157" s="14" t="n">
        <v>2634.24</v>
      </c>
      <c r="D157" s="14" t="n">
        <v>898721</v>
      </c>
      <c r="E157" s="16" t="n">
        <f aca="false">COUNTIFS($A$2:$A$1561,A157,$B$2:$B$1561,"&gt;"&amp;B157)+1</f>
        <v>105</v>
      </c>
      <c r="F157" s="16" t="n">
        <f aca="false">IF(A157=A156,C157-C156,"")</f>
        <v>22.5499999999997</v>
      </c>
      <c r="G157" s="16" t="n">
        <f aca="false">IF(A157=A156,IF(F157&gt;0,F157,0),"")</f>
        <v>22.5499999999997</v>
      </c>
      <c r="H157" s="16" t="n">
        <f aca="false">IF(A157=A156,IF(F157&lt;0,-F157,0),"")</f>
        <v>0</v>
      </c>
    </row>
    <row r="158" customFormat="false" ht="15" hidden="false" customHeight="false" outlineLevel="0" collapsed="false">
      <c r="A158" s="14" t="s">
        <v>86</v>
      </c>
      <c r="B158" s="15" t="n">
        <v>46092</v>
      </c>
      <c r="C158" s="14" t="n">
        <v>2612.92</v>
      </c>
      <c r="D158" s="14" t="n">
        <v>804764</v>
      </c>
      <c r="E158" s="16" t="n">
        <f aca="false">COUNTIFS($A$2:$A$1561,A158,$B$2:$B$1561,"&gt;"&amp;B158)+1</f>
        <v>104</v>
      </c>
      <c r="F158" s="16" t="n">
        <f aca="false">IF(A158=A157,C158-C157,"")</f>
        <v>-21.3199999999997</v>
      </c>
      <c r="G158" s="16" t="n">
        <f aca="false">IF(A158=A157,IF(F158&gt;0,F158,0),"")</f>
        <v>0</v>
      </c>
      <c r="H158" s="16" t="n">
        <f aca="false">IF(A158=A157,IF(F158&lt;0,-F158,0),"")</f>
        <v>21.3199999999997</v>
      </c>
    </row>
    <row r="159" customFormat="false" ht="15" hidden="false" customHeight="false" outlineLevel="0" collapsed="false">
      <c r="A159" s="14" t="s">
        <v>86</v>
      </c>
      <c r="B159" s="15" t="n">
        <v>46093</v>
      </c>
      <c r="C159" s="14" t="n">
        <v>2596.75</v>
      </c>
      <c r="D159" s="14" t="n">
        <v>1838917</v>
      </c>
      <c r="E159" s="16" t="n">
        <f aca="false">COUNTIFS($A$2:$A$1561,A159,$B$2:$B$1561,"&gt;"&amp;B159)+1</f>
        <v>103</v>
      </c>
      <c r="F159" s="16" t="n">
        <f aca="false">IF(A159=A158,C159-C158,"")</f>
        <v>-16.1700000000001</v>
      </c>
      <c r="G159" s="16" t="n">
        <f aca="false">IF(A159=A158,IF(F159&gt;0,F159,0),"")</f>
        <v>0</v>
      </c>
      <c r="H159" s="16" t="n">
        <f aca="false">IF(A159=A158,IF(F159&lt;0,-F159,0),"")</f>
        <v>16.1700000000001</v>
      </c>
    </row>
    <row r="160" customFormat="false" ht="15" hidden="false" customHeight="false" outlineLevel="0" collapsed="false">
      <c r="A160" s="14" t="s">
        <v>86</v>
      </c>
      <c r="B160" s="15" t="n">
        <v>46094</v>
      </c>
      <c r="C160" s="14" t="n">
        <v>2601.14</v>
      </c>
      <c r="D160" s="14" t="n">
        <v>935929</v>
      </c>
      <c r="E160" s="16" t="n">
        <f aca="false">COUNTIFS($A$2:$A$1561,A160,$B$2:$B$1561,"&gt;"&amp;B160)+1</f>
        <v>102</v>
      </c>
      <c r="F160" s="16" t="n">
        <f aca="false">IF(A160=A159,C160-C159,"")</f>
        <v>4.38999999999987</v>
      </c>
      <c r="G160" s="16" t="n">
        <f aca="false">IF(A160=A159,IF(F160&gt;0,F160,0),"")</f>
        <v>4.38999999999987</v>
      </c>
      <c r="H160" s="16" t="n">
        <f aca="false">IF(A160=A159,IF(F160&lt;0,-F160,0),"")</f>
        <v>0</v>
      </c>
    </row>
    <row r="161" customFormat="false" ht="15" hidden="false" customHeight="false" outlineLevel="0" collapsed="false">
      <c r="A161" s="14" t="s">
        <v>86</v>
      </c>
      <c r="B161" s="15" t="n">
        <v>46097</v>
      </c>
      <c r="C161" s="14" t="n">
        <v>2611.88</v>
      </c>
      <c r="D161" s="14" t="n">
        <v>2033796</v>
      </c>
      <c r="E161" s="16" t="n">
        <f aca="false">COUNTIFS($A$2:$A$1561,A161,$B$2:$B$1561,"&gt;"&amp;B161)+1</f>
        <v>101</v>
      </c>
      <c r="F161" s="16" t="n">
        <f aca="false">IF(A161=A160,C161-C160,"")</f>
        <v>10.7400000000002</v>
      </c>
      <c r="G161" s="16" t="n">
        <f aca="false">IF(A161=A160,IF(F161&gt;0,F161,0),"")</f>
        <v>10.7400000000002</v>
      </c>
      <c r="H161" s="16" t="n">
        <f aca="false">IF(A161=A160,IF(F161&lt;0,-F161,0),"")</f>
        <v>0</v>
      </c>
    </row>
    <row r="162" customFormat="false" ht="15" hidden="false" customHeight="false" outlineLevel="0" collapsed="false">
      <c r="A162" s="14" t="s">
        <v>86</v>
      </c>
      <c r="B162" s="15" t="n">
        <v>46098</v>
      </c>
      <c r="C162" s="14" t="n">
        <v>2597.68</v>
      </c>
      <c r="D162" s="14" t="n">
        <v>1714494</v>
      </c>
      <c r="E162" s="16" t="n">
        <f aca="false">COUNTIFS($A$2:$A$1561,A162,$B$2:$B$1561,"&gt;"&amp;B162)+1</f>
        <v>100</v>
      </c>
      <c r="F162" s="16" t="n">
        <f aca="false">IF(A162=A161,C162-C161,"")</f>
        <v>-14.2000000000003</v>
      </c>
      <c r="G162" s="16" t="n">
        <f aca="false">IF(A162=A161,IF(F162&gt;0,F162,0),"")</f>
        <v>0</v>
      </c>
      <c r="H162" s="16" t="n">
        <f aca="false">IF(A162=A161,IF(F162&lt;0,-F162,0),"")</f>
        <v>14.2000000000003</v>
      </c>
    </row>
    <row r="163" customFormat="false" ht="15" hidden="false" customHeight="false" outlineLevel="0" collapsed="false">
      <c r="A163" s="14" t="s">
        <v>86</v>
      </c>
      <c r="B163" s="15" t="n">
        <v>46099</v>
      </c>
      <c r="C163" s="14" t="n">
        <v>2610.67</v>
      </c>
      <c r="D163" s="14" t="n">
        <v>729065</v>
      </c>
      <c r="E163" s="16" t="n">
        <f aca="false">COUNTIFS($A$2:$A$1561,A163,$B$2:$B$1561,"&gt;"&amp;B163)+1</f>
        <v>99</v>
      </c>
      <c r="F163" s="16" t="n">
        <f aca="false">IF(A163=A162,C163-C162,"")</f>
        <v>12.9900000000002</v>
      </c>
      <c r="G163" s="16" t="n">
        <f aca="false">IF(A163=A162,IF(F163&gt;0,F163,0),"")</f>
        <v>12.9900000000002</v>
      </c>
      <c r="H163" s="16" t="n">
        <f aca="false">IF(A163=A162,IF(F163&lt;0,-F163,0),"")</f>
        <v>0</v>
      </c>
    </row>
    <row r="164" customFormat="false" ht="15" hidden="false" customHeight="false" outlineLevel="0" collapsed="false">
      <c r="A164" s="14" t="s">
        <v>86</v>
      </c>
      <c r="B164" s="15" t="n">
        <v>46100</v>
      </c>
      <c r="C164" s="14" t="n">
        <v>2627.09</v>
      </c>
      <c r="D164" s="14" t="n">
        <v>2429441</v>
      </c>
      <c r="E164" s="16" t="n">
        <f aca="false">COUNTIFS($A$2:$A$1561,A164,$B$2:$B$1561,"&gt;"&amp;B164)+1</f>
        <v>98</v>
      </c>
      <c r="F164" s="16" t="n">
        <f aca="false">IF(A164=A163,C164-C163,"")</f>
        <v>16.4200000000001</v>
      </c>
      <c r="G164" s="16" t="n">
        <f aca="false">IF(A164=A163,IF(F164&gt;0,F164,0),"")</f>
        <v>16.4200000000001</v>
      </c>
      <c r="H164" s="16" t="n">
        <f aca="false">IF(A164=A163,IF(F164&lt;0,-F164,0),"")</f>
        <v>0</v>
      </c>
    </row>
    <row r="165" customFormat="false" ht="15" hidden="false" customHeight="false" outlineLevel="0" collapsed="false">
      <c r="A165" s="14" t="s">
        <v>86</v>
      </c>
      <c r="B165" s="15" t="n">
        <v>46101</v>
      </c>
      <c r="C165" s="14" t="n">
        <v>2609.97</v>
      </c>
      <c r="D165" s="14" t="n">
        <v>551356</v>
      </c>
      <c r="E165" s="16" t="n">
        <f aca="false">COUNTIFS($A$2:$A$1561,A165,$B$2:$B$1561,"&gt;"&amp;B165)+1</f>
        <v>97</v>
      </c>
      <c r="F165" s="16" t="n">
        <f aca="false">IF(A165=A164,C165-C164,"")</f>
        <v>-17.1200000000003</v>
      </c>
      <c r="G165" s="16" t="n">
        <f aca="false">IF(A165=A164,IF(F165&gt;0,F165,0),"")</f>
        <v>0</v>
      </c>
      <c r="H165" s="16" t="n">
        <f aca="false">IF(A165=A164,IF(F165&lt;0,-F165,0),"")</f>
        <v>17.1200000000003</v>
      </c>
    </row>
    <row r="166" customFormat="false" ht="15" hidden="false" customHeight="false" outlineLevel="0" collapsed="false">
      <c r="A166" s="14" t="s">
        <v>86</v>
      </c>
      <c r="B166" s="15" t="n">
        <v>46104</v>
      </c>
      <c r="C166" s="14" t="n">
        <v>2602.55</v>
      </c>
      <c r="D166" s="14" t="n">
        <v>1854694</v>
      </c>
      <c r="E166" s="16" t="n">
        <f aca="false">COUNTIFS($A$2:$A$1561,A166,$B$2:$B$1561,"&gt;"&amp;B166)+1</f>
        <v>96</v>
      </c>
      <c r="F166" s="16" t="n">
        <f aca="false">IF(A166=A165,C166-C165,"")</f>
        <v>-7.41999999999962</v>
      </c>
      <c r="G166" s="16" t="n">
        <f aca="false">IF(A166=A165,IF(F166&gt;0,F166,0),"")</f>
        <v>0</v>
      </c>
      <c r="H166" s="16" t="n">
        <f aca="false">IF(A166=A165,IF(F166&lt;0,-F166,0),"")</f>
        <v>7.41999999999962</v>
      </c>
    </row>
    <row r="167" customFormat="false" ht="15" hidden="false" customHeight="false" outlineLevel="0" collapsed="false">
      <c r="A167" s="14" t="s">
        <v>86</v>
      </c>
      <c r="B167" s="15" t="n">
        <v>46105</v>
      </c>
      <c r="C167" s="14" t="n">
        <v>2625.42</v>
      </c>
      <c r="D167" s="14" t="n">
        <v>1293308</v>
      </c>
      <c r="E167" s="16" t="n">
        <f aca="false">COUNTIFS($A$2:$A$1561,A167,$B$2:$B$1561,"&gt;"&amp;B167)+1</f>
        <v>95</v>
      </c>
      <c r="F167" s="16" t="n">
        <f aca="false">IF(A167=A166,C167-C166,"")</f>
        <v>22.8699999999999</v>
      </c>
      <c r="G167" s="16" t="n">
        <f aca="false">IF(A167=A166,IF(F167&gt;0,F167,0),"")</f>
        <v>22.8699999999999</v>
      </c>
      <c r="H167" s="16" t="n">
        <f aca="false">IF(A167=A166,IF(F167&lt;0,-F167,0),"")</f>
        <v>0</v>
      </c>
    </row>
    <row r="168" customFormat="false" ht="15" hidden="false" customHeight="false" outlineLevel="0" collapsed="false">
      <c r="A168" s="14" t="s">
        <v>86</v>
      </c>
      <c r="B168" s="15" t="n">
        <v>46106</v>
      </c>
      <c r="C168" s="14" t="n">
        <v>2637</v>
      </c>
      <c r="D168" s="14" t="n">
        <v>651992</v>
      </c>
      <c r="E168" s="16" t="n">
        <f aca="false">COUNTIFS($A$2:$A$1561,A168,$B$2:$B$1561,"&gt;"&amp;B168)+1</f>
        <v>94</v>
      </c>
      <c r="F168" s="16" t="n">
        <f aca="false">IF(A168=A167,C168-C167,"")</f>
        <v>11.5799999999999</v>
      </c>
      <c r="G168" s="16" t="n">
        <f aca="false">IF(A168=A167,IF(F168&gt;0,F168,0),"")</f>
        <v>11.5799999999999</v>
      </c>
      <c r="H168" s="16" t="n">
        <f aca="false">IF(A168=A167,IF(F168&lt;0,-F168,0),"")</f>
        <v>0</v>
      </c>
    </row>
    <row r="169" customFormat="false" ht="15" hidden="false" customHeight="false" outlineLevel="0" collapsed="false">
      <c r="A169" s="14" t="s">
        <v>86</v>
      </c>
      <c r="B169" s="15" t="n">
        <v>46107</v>
      </c>
      <c r="C169" s="14" t="n">
        <v>2647.47</v>
      </c>
      <c r="D169" s="14" t="n">
        <v>1754484</v>
      </c>
      <c r="E169" s="16" t="n">
        <f aca="false">COUNTIFS($A$2:$A$1561,A169,$B$2:$B$1561,"&gt;"&amp;B169)+1</f>
        <v>93</v>
      </c>
      <c r="F169" s="16" t="n">
        <f aca="false">IF(A169=A168,C169-C168,"")</f>
        <v>10.4699999999998</v>
      </c>
      <c r="G169" s="16" t="n">
        <f aca="false">IF(A169=A168,IF(F169&gt;0,F169,0),"")</f>
        <v>10.4699999999998</v>
      </c>
      <c r="H169" s="16" t="n">
        <f aca="false">IF(A169=A168,IF(F169&lt;0,-F169,0),"")</f>
        <v>0</v>
      </c>
    </row>
    <row r="170" customFormat="false" ht="15" hidden="false" customHeight="false" outlineLevel="0" collapsed="false">
      <c r="A170" s="14" t="s">
        <v>86</v>
      </c>
      <c r="B170" s="15" t="n">
        <v>46108</v>
      </c>
      <c r="C170" s="14" t="n">
        <v>2629.93</v>
      </c>
      <c r="D170" s="14" t="n">
        <v>2044961</v>
      </c>
      <c r="E170" s="16" t="n">
        <f aca="false">COUNTIFS($A$2:$A$1561,A170,$B$2:$B$1561,"&gt;"&amp;B170)+1</f>
        <v>92</v>
      </c>
      <c r="F170" s="16" t="n">
        <f aca="false">IF(A170=A169,C170-C169,"")</f>
        <v>-17.54</v>
      </c>
      <c r="G170" s="16" t="n">
        <f aca="false">IF(A170=A169,IF(F170&gt;0,F170,0),"")</f>
        <v>0</v>
      </c>
      <c r="H170" s="16" t="n">
        <f aca="false">IF(A170=A169,IF(F170&lt;0,-F170,0),"")</f>
        <v>17.54</v>
      </c>
    </row>
    <row r="171" customFormat="false" ht="15" hidden="false" customHeight="false" outlineLevel="0" collapsed="false">
      <c r="A171" s="14" t="s">
        <v>86</v>
      </c>
      <c r="B171" s="15" t="n">
        <v>46111</v>
      </c>
      <c r="C171" s="14" t="n">
        <v>2647.93</v>
      </c>
      <c r="D171" s="14" t="n">
        <v>1700823</v>
      </c>
      <c r="E171" s="16" t="n">
        <f aca="false">COUNTIFS($A$2:$A$1561,A171,$B$2:$B$1561,"&gt;"&amp;B171)+1</f>
        <v>91</v>
      </c>
      <c r="F171" s="16" t="n">
        <f aca="false">IF(A171=A170,C171-C170,"")</f>
        <v>18</v>
      </c>
      <c r="G171" s="16" t="n">
        <f aca="false">IF(A171=A170,IF(F171&gt;0,F171,0),"")</f>
        <v>18</v>
      </c>
      <c r="H171" s="16" t="n">
        <f aca="false">IF(A171=A170,IF(F171&lt;0,-F171,0),"")</f>
        <v>0</v>
      </c>
    </row>
    <row r="172" customFormat="false" ht="15" hidden="false" customHeight="false" outlineLevel="0" collapsed="false">
      <c r="A172" s="14" t="s">
        <v>86</v>
      </c>
      <c r="B172" s="15" t="n">
        <v>46112</v>
      </c>
      <c r="C172" s="14" t="n">
        <v>2631.3</v>
      </c>
      <c r="D172" s="14" t="n">
        <v>2467688</v>
      </c>
      <c r="E172" s="16" t="n">
        <f aca="false">COUNTIFS($A$2:$A$1561,A172,$B$2:$B$1561,"&gt;"&amp;B172)+1</f>
        <v>90</v>
      </c>
      <c r="F172" s="16" t="n">
        <f aca="false">IF(A172=A171,C172-C171,"")</f>
        <v>-16.6299999999997</v>
      </c>
      <c r="G172" s="16" t="n">
        <f aca="false">IF(A172=A171,IF(F172&gt;0,F172,0),"")</f>
        <v>0</v>
      </c>
      <c r="H172" s="16" t="n">
        <f aca="false">IF(A172=A171,IF(F172&lt;0,-F172,0),"")</f>
        <v>16.6299999999997</v>
      </c>
    </row>
    <row r="173" customFormat="false" ht="15" hidden="false" customHeight="false" outlineLevel="0" collapsed="false">
      <c r="A173" s="14" t="s">
        <v>86</v>
      </c>
      <c r="B173" s="15" t="n">
        <v>46113</v>
      </c>
      <c r="C173" s="14" t="n">
        <v>2646.1</v>
      </c>
      <c r="D173" s="14" t="n">
        <v>1194407</v>
      </c>
      <c r="E173" s="16" t="n">
        <f aca="false">COUNTIFS($A$2:$A$1561,A173,$B$2:$B$1561,"&gt;"&amp;B173)+1</f>
        <v>89</v>
      </c>
      <c r="F173" s="16" t="n">
        <f aca="false">IF(A173=A172,C173-C172,"")</f>
        <v>14.7999999999997</v>
      </c>
      <c r="G173" s="16" t="n">
        <f aca="false">IF(A173=A172,IF(F173&gt;0,F173,0),"")</f>
        <v>14.7999999999997</v>
      </c>
      <c r="H173" s="16" t="n">
        <f aca="false">IF(A173=A172,IF(F173&lt;0,-F173,0),"")</f>
        <v>0</v>
      </c>
    </row>
    <row r="174" customFormat="false" ht="15" hidden="false" customHeight="false" outlineLevel="0" collapsed="false">
      <c r="A174" s="14" t="s">
        <v>86</v>
      </c>
      <c r="B174" s="15" t="n">
        <v>46114</v>
      </c>
      <c r="C174" s="14" t="n">
        <v>2644.12</v>
      </c>
      <c r="D174" s="14" t="n">
        <v>1241141</v>
      </c>
      <c r="E174" s="16" t="n">
        <f aca="false">COUNTIFS($A$2:$A$1561,A174,$B$2:$B$1561,"&gt;"&amp;B174)+1</f>
        <v>88</v>
      </c>
      <c r="F174" s="16" t="n">
        <f aca="false">IF(A174=A173,C174-C173,"")</f>
        <v>-1.98000000000002</v>
      </c>
      <c r="G174" s="16" t="n">
        <f aca="false">IF(A174=A173,IF(F174&gt;0,F174,0),"")</f>
        <v>0</v>
      </c>
      <c r="H174" s="16" t="n">
        <f aca="false">IF(A174=A173,IF(F174&lt;0,-F174,0),"")</f>
        <v>1.98000000000002</v>
      </c>
    </row>
    <row r="175" customFormat="false" ht="15" hidden="false" customHeight="false" outlineLevel="0" collapsed="false">
      <c r="A175" s="14" t="s">
        <v>86</v>
      </c>
      <c r="B175" s="15" t="n">
        <v>46115</v>
      </c>
      <c r="C175" s="14" t="n">
        <v>2645.83</v>
      </c>
      <c r="D175" s="14" t="n">
        <v>1182462</v>
      </c>
      <c r="E175" s="16" t="n">
        <f aca="false">COUNTIFS($A$2:$A$1561,A175,$B$2:$B$1561,"&gt;"&amp;B175)+1</f>
        <v>87</v>
      </c>
      <c r="F175" s="16" t="n">
        <f aca="false">IF(A175=A174,C175-C174,"")</f>
        <v>1.71000000000004</v>
      </c>
      <c r="G175" s="16" t="n">
        <f aca="false">IF(A175=A174,IF(F175&gt;0,F175,0),"")</f>
        <v>1.71000000000004</v>
      </c>
      <c r="H175" s="16" t="n">
        <f aca="false">IF(A175=A174,IF(F175&lt;0,-F175,0),"")</f>
        <v>0</v>
      </c>
    </row>
    <row r="176" customFormat="false" ht="15" hidden="false" customHeight="false" outlineLevel="0" collapsed="false">
      <c r="A176" s="14" t="s">
        <v>86</v>
      </c>
      <c r="B176" s="15" t="n">
        <v>46118</v>
      </c>
      <c r="C176" s="14" t="n">
        <v>2663.91</v>
      </c>
      <c r="D176" s="14" t="n">
        <v>2144661</v>
      </c>
      <c r="E176" s="16" t="n">
        <f aca="false">COUNTIFS($A$2:$A$1561,A176,$B$2:$B$1561,"&gt;"&amp;B176)+1</f>
        <v>86</v>
      </c>
      <c r="F176" s="16" t="n">
        <f aca="false">IF(A176=A175,C176-C175,"")</f>
        <v>18.0799999999999</v>
      </c>
      <c r="G176" s="16" t="n">
        <f aca="false">IF(A176=A175,IF(F176&gt;0,F176,0),"")</f>
        <v>18.0799999999999</v>
      </c>
      <c r="H176" s="16" t="n">
        <f aca="false">IF(A176=A175,IF(F176&lt;0,-F176,0),"")</f>
        <v>0</v>
      </c>
    </row>
    <row r="177" customFormat="false" ht="15" hidden="false" customHeight="false" outlineLevel="0" collapsed="false">
      <c r="A177" s="14" t="s">
        <v>86</v>
      </c>
      <c r="B177" s="15" t="n">
        <v>46119</v>
      </c>
      <c r="C177" s="14" t="n">
        <v>2646.43</v>
      </c>
      <c r="D177" s="14" t="n">
        <v>2421575</v>
      </c>
      <c r="E177" s="16" t="n">
        <f aca="false">COUNTIFS($A$2:$A$1561,A177,$B$2:$B$1561,"&gt;"&amp;B177)+1</f>
        <v>85</v>
      </c>
      <c r="F177" s="16" t="n">
        <f aca="false">IF(A177=A176,C177-C176,"")</f>
        <v>-17.48</v>
      </c>
      <c r="G177" s="16" t="n">
        <f aca="false">IF(A177=A176,IF(F177&gt;0,F177,0),"")</f>
        <v>0</v>
      </c>
      <c r="H177" s="16" t="n">
        <f aca="false">IF(A177=A176,IF(F177&lt;0,-F177,0),"")</f>
        <v>17.48</v>
      </c>
    </row>
    <row r="178" customFormat="false" ht="15" hidden="false" customHeight="false" outlineLevel="0" collapsed="false">
      <c r="A178" s="14" t="s">
        <v>86</v>
      </c>
      <c r="B178" s="15" t="n">
        <v>46120</v>
      </c>
      <c r="C178" s="14" t="n">
        <v>2654.32</v>
      </c>
      <c r="D178" s="14" t="n">
        <v>2157414</v>
      </c>
      <c r="E178" s="16" t="n">
        <f aca="false">COUNTIFS($A$2:$A$1561,A178,$B$2:$B$1561,"&gt;"&amp;B178)+1</f>
        <v>84</v>
      </c>
      <c r="F178" s="16" t="n">
        <f aca="false">IF(A178=A177,C178-C177,"")</f>
        <v>7.89000000000033</v>
      </c>
      <c r="G178" s="16" t="n">
        <f aca="false">IF(A178=A177,IF(F178&gt;0,F178,0),"")</f>
        <v>7.89000000000033</v>
      </c>
      <c r="H178" s="16" t="n">
        <f aca="false">IF(A178=A177,IF(F178&lt;0,-F178,0),"")</f>
        <v>0</v>
      </c>
    </row>
    <row r="179" customFormat="false" ht="15" hidden="false" customHeight="false" outlineLevel="0" collapsed="false">
      <c r="A179" s="14" t="s">
        <v>86</v>
      </c>
      <c r="B179" s="15" t="n">
        <v>46121</v>
      </c>
      <c r="C179" s="14" t="n">
        <v>2665.66</v>
      </c>
      <c r="D179" s="14" t="n">
        <v>1370974</v>
      </c>
      <c r="E179" s="16" t="n">
        <f aca="false">COUNTIFS($A$2:$A$1561,A179,$B$2:$B$1561,"&gt;"&amp;B179)+1</f>
        <v>83</v>
      </c>
      <c r="F179" s="16" t="n">
        <f aca="false">IF(A179=A178,C179-C178,"")</f>
        <v>11.3399999999997</v>
      </c>
      <c r="G179" s="16" t="n">
        <f aca="false">IF(A179=A178,IF(F179&gt;0,F179,0),"")</f>
        <v>11.3399999999997</v>
      </c>
      <c r="H179" s="16" t="n">
        <f aca="false">IF(A179=A178,IF(F179&lt;0,-F179,0),"")</f>
        <v>0</v>
      </c>
    </row>
    <row r="180" customFormat="false" ht="15" hidden="false" customHeight="false" outlineLevel="0" collapsed="false">
      <c r="A180" s="14" t="s">
        <v>86</v>
      </c>
      <c r="B180" s="15" t="n">
        <v>46122</v>
      </c>
      <c r="C180" s="14" t="n">
        <v>2678.32</v>
      </c>
      <c r="D180" s="14" t="n">
        <v>2430947</v>
      </c>
      <c r="E180" s="16" t="n">
        <f aca="false">COUNTIFS($A$2:$A$1561,A180,$B$2:$B$1561,"&gt;"&amp;B180)+1</f>
        <v>82</v>
      </c>
      <c r="F180" s="16" t="n">
        <f aca="false">IF(A180=A179,C180-C179,"")</f>
        <v>12.6600000000003</v>
      </c>
      <c r="G180" s="16" t="n">
        <f aca="false">IF(A180=A179,IF(F180&gt;0,F180,0),"")</f>
        <v>12.6600000000003</v>
      </c>
      <c r="H180" s="16" t="n">
        <f aca="false">IF(A180=A179,IF(F180&lt;0,-F180,0),"")</f>
        <v>0</v>
      </c>
    </row>
    <row r="181" customFormat="false" ht="15" hidden="false" customHeight="false" outlineLevel="0" collapsed="false">
      <c r="A181" s="14" t="s">
        <v>86</v>
      </c>
      <c r="B181" s="15" t="n">
        <v>46125</v>
      </c>
      <c r="C181" s="14" t="n">
        <v>2668.68</v>
      </c>
      <c r="D181" s="14" t="n">
        <v>2116398</v>
      </c>
      <c r="E181" s="16" t="n">
        <f aca="false">COUNTIFS($A$2:$A$1561,A181,$B$2:$B$1561,"&gt;"&amp;B181)+1</f>
        <v>81</v>
      </c>
      <c r="F181" s="16" t="n">
        <f aca="false">IF(A181=A180,C181-C180,"")</f>
        <v>-9.64000000000033</v>
      </c>
      <c r="G181" s="16" t="n">
        <f aca="false">IF(A181=A180,IF(F181&gt;0,F181,0),"")</f>
        <v>0</v>
      </c>
      <c r="H181" s="16" t="n">
        <f aca="false">IF(A181=A180,IF(F181&lt;0,-F181,0),"")</f>
        <v>9.64000000000033</v>
      </c>
    </row>
    <row r="182" customFormat="false" ht="15" hidden="false" customHeight="false" outlineLevel="0" collapsed="false">
      <c r="A182" s="14" t="s">
        <v>86</v>
      </c>
      <c r="B182" s="15" t="n">
        <v>46126</v>
      </c>
      <c r="C182" s="14" t="n">
        <v>2671.95</v>
      </c>
      <c r="D182" s="14" t="n">
        <v>1466995</v>
      </c>
      <c r="E182" s="16" t="n">
        <f aca="false">COUNTIFS($A$2:$A$1561,A182,$B$2:$B$1561,"&gt;"&amp;B182)+1</f>
        <v>80</v>
      </c>
      <c r="F182" s="16" t="n">
        <f aca="false">IF(A182=A181,C182-C181,"")</f>
        <v>3.26999999999998</v>
      </c>
      <c r="G182" s="16" t="n">
        <f aca="false">IF(A182=A181,IF(F182&gt;0,F182,0),"")</f>
        <v>3.26999999999998</v>
      </c>
      <c r="H182" s="16" t="n">
        <f aca="false">IF(A182=A181,IF(F182&lt;0,-F182,0),"")</f>
        <v>0</v>
      </c>
    </row>
    <row r="183" customFormat="false" ht="15" hidden="false" customHeight="false" outlineLevel="0" collapsed="false">
      <c r="A183" s="14" t="s">
        <v>86</v>
      </c>
      <c r="B183" s="15" t="n">
        <v>46127</v>
      </c>
      <c r="C183" s="14" t="n">
        <v>2670.3</v>
      </c>
      <c r="D183" s="14" t="n">
        <v>1962052</v>
      </c>
      <c r="E183" s="16" t="n">
        <f aca="false">COUNTIFS($A$2:$A$1561,A183,$B$2:$B$1561,"&gt;"&amp;B183)+1</f>
        <v>79</v>
      </c>
      <c r="F183" s="16" t="n">
        <f aca="false">IF(A183=A182,C183-C182,"")</f>
        <v>-1.64999999999964</v>
      </c>
      <c r="G183" s="16" t="n">
        <f aca="false">IF(A183=A182,IF(F183&gt;0,F183,0),"")</f>
        <v>0</v>
      </c>
      <c r="H183" s="16" t="n">
        <f aca="false">IF(A183=A182,IF(F183&lt;0,-F183,0),"")</f>
        <v>1.64999999999964</v>
      </c>
    </row>
    <row r="184" customFormat="false" ht="15" hidden="false" customHeight="false" outlineLevel="0" collapsed="false">
      <c r="A184" s="14" t="s">
        <v>86</v>
      </c>
      <c r="B184" s="15" t="n">
        <v>46128</v>
      </c>
      <c r="C184" s="14" t="n">
        <v>2660.61</v>
      </c>
      <c r="D184" s="14" t="n">
        <v>2203426</v>
      </c>
      <c r="E184" s="16" t="n">
        <f aca="false">COUNTIFS($A$2:$A$1561,A184,$B$2:$B$1561,"&gt;"&amp;B184)+1</f>
        <v>78</v>
      </c>
      <c r="F184" s="16" t="n">
        <f aca="false">IF(A184=A183,C184-C183,"")</f>
        <v>-9.69000000000006</v>
      </c>
      <c r="G184" s="16" t="n">
        <f aca="false">IF(A184=A183,IF(F184&gt;0,F184,0),"")</f>
        <v>0</v>
      </c>
      <c r="H184" s="16" t="n">
        <f aca="false">IF(A184=A183,IF(F184&lt;0,-F184,0),"")</f>
        <v>9.69000000000006</v>
      </c>
    </row>
    <row r="185" customFormat="false" ht="15" hidden="false" customHeight="false" outlineLevel="0" collapsed="false">
      <c r="A185" s="14" t="s">
        <v>86</v>
      </c>
      <c r="B185" s="15" t="n">
        <v>46129</v>
      </c>
      <c r="C185" s="14" t="n">
        <v>2677.88</v>
      </c>
      <c r="D185" s="14" t="n">
        <v>673325</v>
      </c>
      <c r="E185" s="16" t="n">
        <f aca="false">COUNTIFS($A$2:$A$1561,A185,$B$2:$B$1561,"&gt;"&amp;B185)+1</f>
        <v>77</v>
      </c>
      <c r="F185" s="16" t="n">
        <f aca="false">IF(A185=A184,C185-C184,"")</f>
        <v>17.27</v>
      </c>
      <c r="G185" s="16" t="n">
        <f aca="false">IF(A185=A184,IF(F185&gt;0,F185,0),"")</f>
        <v>17.27</v>
      </c>
      <c r="H185" s="16" t="n">
        <f aca="false">IF(A185=A184,IF(F185&lt;0,-F185,0),"")</f>
        <v>0</v>
      </c>
    </row>
    <row r="186" customFormat="false" ht="15" hidden="false" customHeight="false" outlineLevel="0" collapsed="false">
      <c r="A186" s="14" t="s">
        <v>86</v>
      </c>
      <c r="B186" s="15" t="n">
        <v>46132</v>
      </c>
      <c r="C186" s="14" t="n">
        <v>2697.73</v>
      </c>
      <c r="D186" s="14" t="n">
        <v>987726</v>
      </c>
      <c r="E186" s="16" t="n">
        <f aca="false">COUNTIFS($A$2:$A$1561,A186,$B$2:$B$1561,"&gt;"&amp;B186)+1</f>
        <v>76</v>
      </c>
      <c r="F186" s="16" t="n">
        <f aca="false">IF(A186=A185,C186-C185,"")</f>
        <v>19.8499999999999</v>
      </c>
      <c r="G186" s="16" t="n">
        <f aca="false">IF(A186=A185,IF(F186&gt;0,F186,0),"")</f>
        <v>19.8499999999999</v>
      </c>
      <c r="H186" s="16" t="n">
        <f aca="false">IF(A186=A185,IF(F186&lt;0,-F186,0),"")</f>
        <v>0</v>
      </c>
    </row>
    <row r="187" customFormat="false" ht="15" hidden="false" customHeight="false" outlineLevel="0" collapsed="false">
      <c r="A187" s="14" t="s">
        <v>86</v>
      </c>
      <c r="B187" s="15" t="n">
        <v>46133</v>
      </c>
      <c r="C187" s="14" t="n">
        <v>2697.47</v>
      </c>
      <c r="D187" s="14" t="n">
        <v>1720663</v>
      </c>
      <c r="E187" s="16" t="n">
        <f aca="false">COUNTIFS($A$2:$A$1561,A187,$B$2:$B$1561,"&gt;"&amp;B187)+1</f>
        <v>75</v>
      </c>
      <c r="F187" s="16" t="n">
        <f aca="false">IF(A187=A186,C187-C186,"")</f>
        <v>-0.260000000000218</v>
      </c>
      <c r="G187" s="16" t="n">
        <f aca="false">IF(A187=A186,IF(F187&gt;0,F187,0),"")</f>
        <v>0</v>
      </c>
      <c r="H187" s="16" t="n">
        <f aca="false">IF(A187=A186,IF(F187&lt;0,-F187,0),"")</f>
        <v>0.260000000000218</v>
      </c>
    </row>
    <row r="188" customFormat="false" ht="15" hidden="false" customHeight="false" outlineLevel="0" collapsed="false">
      <c r="A188" s="14" t="s">
        <v>86</v>
      </c>
      <c r="B188" s="15" t="n">
        <v>46134</v>
      </c>
      <c r="C188" s="14" t="n">
        <v>2693.05</v>
      </c>
      <c r="D188" s="14" t="n">
        <v>557399</v>
      </c>
      <c r="E188" s="16" t="n">
        <f aca="false">COUNTIFS($A$2:$A$1561,A188,$B$2:$B$1561,"&gt;"&amp;B188)+1</f>
        <v>74</v>
      </c>
      <c r="F188" s="16" t="n">
        <f aca="false">IF(A188=A187,C188-C187,"")</f>
        <v>-4.41999999999962</v>
      </c>
      <c r="G188" s="16" t="n">
        <f aca="false">IF(A188=A187,IF(F188&gt;0,F188,0),"")</f>
        <v>0</v>
      </c>
      <c r="H188" s="16" t="n">
        <f aca="false">IF(A188=A187,IF(F188&lt;0,-F188,0),"")</f>
        <v>4.41999999999962</v>
      </c>
    </row>
    <row r="189" customFormat="false" ht="15" hidden="false" customHeight="false" outlineLevel="0" collapsed="false">
      <c r="A189" s="14" t="s">
        <v>86</v>
      </c>
      <c r="B189" s="15" t="n">
        <v>46135</v>
      </c>
      <c r="C189" s="14" t="n">
        <v>2711.52</v>
      </c>
      <c r="D189" s="14" t="n">
        <v>863679</v>
      </c>
      <c r="E189" s="16" t="n">
        <f aca="false">COUNTIFS($A$2:$A$1561,A189,$B$2:$B$1561,"&gt;"&amp;B189)+1</f>
        <v>73</v>
      </c>
      <c r="F189" s="16" t="n">
        <f aca="false">IF(A189=A188,C189-C188,"")</f>
        <v>18.4699999999998</v>
      </c>
      <c r="G189" s="16" t="n">
        <f aca="false">IF(A189=A188,IF(F189&gt;0,F189,0),"")</f>
        <v>18.4699999999998</v>
      </c>
      <c r="H189" s="16" t="n">
        <f aca="false">IF(A189=A188,IF(F189&lt;0,-F189,0),"")</f>
        <v>0</v>
      </c>
    </row>
    <row r="190" customFormat="false" ht="15" hidden="false" customHeight="false" outlineLevel="0" collapsed="false">
      <c r="A190" s="14" t="s">
        <v>86</v>
      </c>
      <c r="B190" s="15" t="n">
        <v>46136</v>
      </c>
      <c r="C190" s="14" t="n">
        <v>2698.93</v>
      </c>
      <c r="D190" s="14" t="n">
        <v>2095664</v>
      </c>
      <c r="E190" s="16" t="n">
        <f aca="false">COUNTIFS($A$2:$A$1561,A190,$B$2:$B$1561,"&gt;"&amp;B190)+1</f>
        <v>72</v>
      </c>
      <c r="F190" s="16" t="n">
        <f aca="false">IF(A190=A189,C190-C189,"")</f>
        <v>-12.5900000000001</v>
      </c>
      <c r="G190" s="16" t="n">
        <f aca="false">IF(A190=A189,IF(F190&gt;0,F190,0),"")</f>
        <v>0</v>
      </c>
      <c r="H190" s="16" t="n">
        <f aca="false">IF(A190=A189,IF(F190&lt;0,-F190,0),"")</f>
        <v>12.5900000000001</v>
      </c>
    </row>
    <row r="191" customFormat="false" ht="15" hidden="false" customHeight="false" outlineLevel="0" collapsed="false">
      <c r="A191" s="14" t="s">
        <v>86</v>
      </c>
      <c r="B191" s="15" t="n">
        <v>46139</v>
      </c>
      <c r="C191" s="14" t="n">
        <v>2692.63</v>
      </c>
      <c r="D191" s="14" t="n">
        <v>2260639</v>
      </c>
      <c r="E191" s="16" t="n">
        <f aca="false">COUNTIFS($A$2:$A$1561,A191,$B$2:$B$1561,"&gt;"&amp;B191)+1</f>
        <v>71</v>
      </c>
      <c r="F191" s="16" t="n">
        <f aca="false">IF(A191=A190,C191-C190,"")</f>
        <v>-6.29999999999973</v>
      </c>
      <c r="G191" s="16" t="n">
        <f aca="false">IF(A191=A190,IF(F191&gt;0,F191,0),"")</f>
        <v>0</v>
      </c>
      <c r="H191" s="16" t="n">
        <f aca="false">IF(A191=A190,IF(F191&lt;0,-F191,0),"")</f>
        <v>6.29999999999973</v>
      </c>
    </row>
    <row r="192" customFormat="false" ht="15" hidden="false" customHeight="false" outlineLevel="0" collapsed="false">
      <c r="A192" s="14" t="s">
        <v>86</v>
      </c>
      <c r="B192" s="15" t="n">
        <v>46140</v>
      </c>
      <c r="C192" s="14" t="n">
        <v>2703.84</v>
      </c>
      <c r="D192" s="14" t="n">
        <v>1052537</v>
      </c>
      <c r="E192" s="16" t="n">
        <f aca="false">COUNTIFS($A$2:$A$1561,A192,$B$2:$B$1561,"&gt;"&amp;B192)+1</f>
        <v>70</v>
      </c>
      <c r="F192" s="16" t="n">
        <f aca="false">IF(A192=A191,C192-C191,"")</f>
        <v>11.21</v>
      </c>
      <c r="G192" s="16" t="n">
        <f aca="false">IF(A192=A191,IF(F192&gt;0,F192,0),"")</f>
        <v>11.21</v>
      </c>
      <c r="H192" s="16" t="n">
        <f aca="false">IF(A192=A191,IF(F192&lt;0,-F192,0),"")</f>
        <v>0</v>
      </c>
    </row>
    <row r="193" customFormat="false" ht="15" hidden="false" customHeight="false" outlineLevel="0" collapsed="false">
      <c r="A193" s="14" t="s">
        <v>86</v>
      </c>
      <c r="B193" s="15" t="n">
        <v>46141</v>
      </c>
      <c r="C193" s="14" t="n">
        <v>2681.46</v>
      </c>
      <c r="D193" s="14" t="n">
        <v>2396125</v>
      </c>
      <c r="E193" s="16" t="n">
        <f aca="false">COUNTIFS($A$2:$A$1561,A193,$B$2:$B$1561,"&gt;"&amp;B193)+1</f>
        <v>69</v>
      </c>
      <c r="F193" s="16" t="n">
        <f aca="false">IF(A193=A192,C193-C192,"")</f>
        <v>-22.3800000000001</v>
      </c>
      <c r="G193" s="16" t="n">
        <f aca="false">IF(A193=A192,IF(F193&gt;0,F193,0),"")</f>
        <v>0</v>
      </c>
      <c r="H193" s="16" t="n">
        <f aca="false">IF(A193=A192,IF(F193&lt;0,-F193,0),"")</f>
        <v>22.3800000000001</v>
      </c>
    </row>
    <row r="194" customFormat="false" ht="15" hidden="false" customHeight="false" outlineLevel="0" collapsed="false">
      <c r="A194" s="14" t="s">
        <v>86</v>
      </c>
      <c r="B194" s="15" t="n">
        <v>46142</v>
      </c>
      <c r="C194" s="14" t="n">
        <v>2662.9</v>
      </c>
      <c r="D194" s="14" t="n">
        <v>1940149</v>
      </c>
      <c r="E194" s="16" t="n">
        <f aca="false">COUNTIFS($A$2:$A$1561,A194,$B$2:$B$1561,"&gt;"&amp;B194)+1</f>
        <v>68</v>
      </c>
      <c r="F194" s="16" t="n">
        <f aca="false">IF(A194=A193,C194-C193,"")</f>
        <v>-18.5599999999999</v>
      </c>
      <c r="G194" s="16" t="n">
        <f aca="false">IF(A194=A193,IF(F194&gt;0,F194,0),"")</f>
        <v>0</v>
      </c>
      <c r="H194" s="16" t="n">
        <f aca="false">IF(A194=A193,IF(F194&lt;0,-F194,0),"")</f>
        <v>18.5599999999999</v>
      </c>
    </row>
    <row r="195" customFormat="false" ht="15" hidden="false" customHeight="false" outlineLevel="0" collapsed="false">
      <c r="A195" s="14" t="s">
        <v>86</v>
      </c>
      <c r="B195" s="15" t="n">
        <v>46143</v>
      </c>
      <c r="C195" s="14" t="n">
        <v>2663.79</v>
      </c>
      <c r="D195" s="14" t="n">
        <v>2016329</v>
      </c>
      <c r="E195" s="16" t="n">
        <f aca="false">COUNTIFS($A$2:$A$1561,A195,$B$2:$B$1561,"&gt;"&amp;B195)+1</f>
        <v>67</v>
      </c>
      <c r="F195" s="16" t="n">
        <f aca="false">IF(A195=A194,C195-C194,"")</f>
        <v>0.889999999999873</v>
      </c>
      <c r="G195" s="16" t="n">
        <f aca="false">IF(A195=A194,IF(F195&gt;0,F195,0),"")</f>
        <v>0.889999999999873</v>
      </c>
      <c r="H195" s="16" t="n">
        <f aca="false">IF(A195=A194,IF(F195&lt;0,-F195,0),"")</f>
        <v>0</v>
      </c>
    </row>
    <row r="196" customFormat="false" ht="15" hidden="false" customHeight="false" outlineLevel="0" collapsed="false">
      <c r="A196" s="14" t="s">
        <v>86</v>
      </c>
      <c r="B196" s="15" t="n">
        <v>46146</v>
      </c>
      <c r="C196" s="14" t="n">
        <v>2674.37</v>
      </c>
      <c r="D196" s="14" t="n">
        <v>1791805</v>
      </c>
      <c r="E196" s="16" t="n">
        <f aca="false">COUNTIFS($A$2:$A$1561,A196,$B$2:$B$1561,"&gt;"&amp;B196)+1</f>
        <v>66</v>
      </c>
      <c r="F196" s="16" t="n">
        <f aca="false">IF(A196=A195,C196-C195,"")</f>
        <v>10.5799999999999</v>
      </c>
      <c r="G196" s="16" t="n">
        <f aca="false">IF(A196=A195,IF(F196&gt;0,F196,0),"")</f>
        <v>10.5799999999999</v>
      </c>
      <c r="H196" s="16" t="n">
        <f aca="false">IF(A196=A195,IF(F196&lt;0,-F196,0),"")</f>
        <v>0</v>
      </c>
    </row>
    <row r="197" customFormat="false" ht="15" hidden="false" customHeight="false" outlineLevel="0" collapsed="false">
      <c r="A197" s="14" t="s">
        <v>86</v>
      </c>
      <c r="B197" s="15" t="n">
        <v>46147</v>
      </c>
      <c r="C197" s="14" t="n">
        <v>2675.37</v>
      </c>
      <c r="D197" s="14" t="n">
        <v>2085865</v>
      </c>
      <c r="E197" s="16" t="n">
        <f aca="false">COUNTIFS($A$2:$A$1561,A197,$B$2:$B$1561,"&gt;"&amp;B197)+1</f>
        <v>65</v>
      </c>
      <c r="F197" s="16" t="n">
        <f aca="false">IF(A197=A196,C197-C196,"")</f>
        <v>1</v>
      </c>
      <c r="G197" s="16" t="n">
        <f aca="false">IF(A197=A196,IF(F197&gt;0,F197,0),"")</f>
        <v>1</v>
      </c>
      <c r="H197" s="16" t="n">
        <f aca="false">IF(A197=A196,IF(F197&lt;0,-F197,0),"")</f>
        <v>0</v>
      </c>
    </row>
    <row r="198" customFormat="false" ht="15" hidden="false" customHeight="false" outlineLevel="0" collapsed="false">
      <c r="A198" s="14" t="s">
        <v>86</v>
      </c>
      <c r="B198" s="15" t="n">
        <v>46148</v>
      </c>
      <c r="C198" s="14" t="n">
        <v>2657.22</v>
      </c>
      <c r="D198" s="14" t="n">
        <v>943192</v>
      </c>
      <c r="E198" s="16" t="n">
        <f aca="false">COUNTIFS($A$2:$A$1561,A198,$B$2:$B$1561,"&gt;"&amp;B198)+1</f>
        <v>64</v>
      </c>
      <c r="F198" s="16" t="n">
        <f aca="false">IF(A198=A197,C198-C197,"")</f>
        <v>-18.1500000000001</v>
      </c>
      <c r="G198" s="16" t="n">
        <f aca="false">IF(A198=A197,IF(F198&gt;0,F198,0),"")</f>
        <v>0</v>
      </c>
      <c r="H198" s="16" t="n">
        <f aca="false">IF(A198=A197,IF(F198&lt;0,-F198,0),"")</f>
        <v>18.1500000000001</v>
      </c>
    </row>
    <row r="199" customFormat="false" ht="15" hidden="false" customHeight="false" outlineLevel="0" collapsed="false">
      <c r="A199" s="14" t="s">
        <v>86</v>
      </c>
      <c r="B199" s="15" t="n">
        <v>46149</v>
      </c>
      <c r="C199" s="14" t="n">
        <v>2667.83</v>
      </c>
      <c r="D199" s="14" t="n">
        <v>1112412</v>
      </c>
      <c r="E199" s="16" t="n">
        <f aca="false">COUNTIFS($A$2:$A$1561,A199,$B$2:$B$1561,"&gt;"&amp;B199)+1</f>
        <v>63</v>
      </c>
      <c r="F199" s="16" t="n">
        <f aca="false">IF(A199=A198,C199-C198,"")</f>
        <v>10.6100000000001</v>
      </c>
      <c r="G199" s="16" t="n">
        <f aca="false">IF(A199=A198,IF(F199&gt;0,F199,0),"")</f>
        <v>10.6100000000001</v>
      </c>
      <c r="H199" s="16" t="n">
        <f aca="false">IF(A199=A198,IF(F199&lt;0,-F199,0),"")</f>
        <v>0</v>
      </c>
    </row>
    <row r="200" customFormat="false" ht="15" hidden="false" customHeight="false" outlineLevel="0" collapsed="false">
      <c r="A200" s="14" t="s">
        <v>86</v>
      </c>
      <c r="B200" s="15" t="n">
        <v>46150</v>
      </c>
      <c r="C200" s="14" t="n">
        <v>2673.19</v>
      </c>
      <c r="D200" s="14" t="n">
        <v>1446520</v>
      </c>
      <c r="E200" s="16" t="n">
        <f aca="false">COUNTIFS($A$2:$A$1561,A200,$B$2:$B$1561,"&gt;"&amp;B200)+1</f>
        <v>62</v>
      </c>
      <c r="F200" s="16" t="n">
        <f aca="false">IF(A200=A199,C200-C199,"")</f>
        <v>5.36000000000013</v>
      </c>
      <c r="G200" s="16" t="n">
        <f aca="false">IF(A200=A199,IF(F200&gt;0,F200,0),"")</f>
        <v>5.36000000000013</v>
      </c>
      <c r="H200" s="16" t="n">
        <f aca="false">IF(A200=A199,IF(F200&lt;0,-F200,0),"")</f>
        <v>0</v>
      </c>
    </row>
    <row r="201" customFormat="false" ht="15" hidden="false" customHeight="false" outlineLevel="0" collapsed="false">
      <c r="A201" s="14" t="s">
        <v>86</v>
      </c>
      <c r="B201" s="15" t="n">
        <v>46153</v>
      </c>
      <c r="C201" s="14" t="n">
        <v>2676.12</v>
      </c>
      <c r="D201" s="14" t="n">
        <v>1351007</v>
      </c>
      <c r="E201" s="16" t="n">
        <f aca="false">COUNTIFS($A$2:$A$1561,A201,$B$2:$B$1561,"&gt;"&amp;B201)+1</f>
        <v>61</v>
      </c>
      <c r="F201" s="16" t="n">
        <f aca="false">IF(A201=A200,C201-C200,"")</f>
        <v>2.92999999999984</v>
      </c>
      <c r="G201" s="16" t="n">
        <f aca="false">IF(A201=A200,IF(F201&gt;0,F201,0),"")</f>
        <v>2.92999999999984</v>
      </c>
      <c r="H201" s="16" t="n">
        <f aca="false">IF(A201=A200,IF(F201&lt;0,-F201,0),"")</f>
        <v>0</v>
      </c>
    </row>
    <row r="202" customFormat="false" ht="15" hidden="false" customHeight="false" outlineLevel="0" collapsed="false">
      <c r="A202" s="14" t="s">
        <v>86</v>
      </c>
      <c r="B202" s="15" t="n">
        <v>46154</v>
      </c>
      <c r="C202" s="14" t="n">
        <v>2689.41</v>
      </c>
      <c r="D202" s="14" t="n">
        <v>1161582</v>
      </c>
      <c r="E202" s="16" t="n">
        <f aca="false">COUNTIFS($A$2:$A$1561,A202,$B$2:$B$1561,"&gt;"&amp;B202)+1</f>
        <v>60</v>
      </c>
      <c r="F202" s="16" t="n">
        <f aca="false">IF(A202=A201,C202-C201,"")</f>
        <v>13.29</v>
      </c>
      <c r="G202" s="16" t="n">
        <f aca="false">IF(A202=A201,IF(F202&gt;0,F202,0),"")</f>
        <v>13.29</v>
      </c>
      <c r="H202" s="16" t="n">
        <f aca="false">IF(A202=A201,IF(F202&lt;0,-F202,0),"")</f>
        <v>0</v>
      </c>
    </row>
    <row r="203" customFormat="false" ht="15" hidden="false" customHeight="false" outlineLevel="0" collapsed="false">
      <c r="A203" s="14" t="s">
        <v>86</v>
      </c>
      <c r="B203" s="15" t="n">
        <v>46155</v>
      </c>
      <c r="C203" s="14" t="n">
        <v>2700.68</v>
      </c>
      <c r="D203" s="14" t="n">
        <v>1041832</v>
      </c>
      <c r="E203" s="16" t="n">
        <f aca="false">COUNTIFS($A$2:$A$1561,A203,$B$2:$B$1561,"&gt;"&amp;B203)+1</f>
        <v>59</v>
      </c>
      <c r="F203" s="16" t="n">
        <f aca="false">IF(A203=A202,C203-C202,"")</f>
        <v>11.27</v>
      </c>
      <c r="G203" s="16" t="n">
        <f aca="false">IF(A203=A202,IF(F203&gt;0,F203,0),"")</f>
        <v>11.27</v>
      </c>
      <c r="H203" s="16" t="n">
        <f aca="false">IF(A203=A202,IF(F203&lt;0,-F203,0),"")</f>
        <v>0</v>
      </c>
    </row>
    <row r="204" customFormat="false" ht="15" hidden="false" customHeight="false" outlineLevel="0" collapsed="false">
      <c r="A204" s="14" t="s">
        <v>86</v>
      </c>
      <c r="B204" s="15" t="n">
        <v>46156</v>
      </c>
      <c r="C204" s="14" t="n">
        <v>2690.05</v>
      </c>
      <c r="D204" s="14" t="n">
        <v>741311</v>
      </c>
      <c r="E204" s="16" t="n">
        <f aca="false">COUNTIFS($A$2:$A$1561,A204,$B$2:$B$1561,"&gt;"&amp;B204)+1</f>
        <v>58</v>
      </c>
      <c r="F204" s="16" t="n">
        <f aca="false">IF(A204=A203,C204-C203,"")</f>
        <v>-10.6299999999997</v>
      </c>
      <c r="G204" s="16" t="n">
        <f aca="false">IF(A204=A203,IF(F204&gt;0,F204,0),"")</f>
        <v>0</v>
      </c>
      <c r="H204" s="16" t="n">
        <f aca="false">IF(A204=A203,IF(F204&lt;0,-F204,0),"")</f>
        <v>10.6299999999997</v>
      </c>
    </row>
    <row r="205" customFormat="false" ht="15" hidden="false" customHeight="false" outlineLevel="0" collapsed="false">
      <c r="A205" s="14" t="s">
        <v>86</v>
      </c>
      <c r="B205" s="15" t="n">
        <v>46157</v>
      </c>
      <c r="C205" s="14" t="n">
        <v>2676.62</v>
      </c>
      <c r="D205" s="14" t="n">
        <v>739109</v>
      </c>
      <c r="E205" s="16" t="n">
        <f aca="false">COUNTIFS($A$2:$A$1561,A205,$B$2:$B$1561,"&gt;"&amp;B205)+1</f>
        <v>57</v>
      </c>
      <c r="F205" s="16" t="n">
        <f aca="false">IF(A205=A204,C205-C204,"")</f>
        <v>-13.4300000000003</v>
      </c>
      <c r="G205" s="16" t="n">
        <f aca="false">IF(A205=A204,IF(F205&gt;0,F205,0),"")</f>
        <v>0</v>
      </c>
      <c r="H205" s="16" t="n">
        <f aca="false">IF(A205=A204,IF(F205&lt;0,-F205,0),"")</f>
        <v>13.4300000000003</v>
      </c>
    </row>
    <row r="206" customFormat="false" ht="15" hidden="false" customHeight="false" outlineLevel="0" collapsed="false">
      <c r="A206" s="14" t="s">
        <v>86</v>
      </c>
      <c r="B206" s="15" t="n">
        <v>46160</v>
      </c>
      <c r="C206" s="14" t="n">
        <v>2679.8</v>
      </c>
      <c r="D206" s="14" t="n">
        <v>2024379</v>
      </c>
      <c r="E206" s="16" t="n">
        <f aca="false">COUNTIFS($A$2:$A$1561,A206,$B$2:$B$1561,"&gt;"&amp;B206)+1</f>
        <v>56</v>
      </c>
      <c r="F206" s="16" t="n">
        <f aca="false">IF(A206=A205,C206-C205,"")</f>
        <v>3.18000000000029</v>
      </c>
      <c r="G206" s="16" t="n">
        <f aca="false">IF(A206=A205,IF(F206&gt;0,F206,0),"")</f>
        <v>3.18000000000029</v>
      </c>
      <c r="H206" s="16" t="n">
        <f aca="false">IF(A206=A205,IF(F206&lt;0,-F206,0),"")</f>
        <v>0</v>
      </c>
    </row>
    <row r="207" customFormat="false" ht="15" hidden="false" customHeight="false" outlineLevel="0" collapsed="false">
      <c r="A207" s="14" t="s">
        <v>86</v>
      </c>
      <c r="B207" s="15" t="n">
        <v>46161</v>
      </c>
      <c r="C207" s="14" t="n">
        <v>2666.06</v>
      </c>
      <c r="D207" s="14" t="n">
        <v>932769</v>
      </c>
      <c r="E207" s="16" t="n">
        <f aca="false">COUNTIFS($A$2:$A$1561,A207,$B$2:$B$1561,"&gt;"&amp;B207)+1</f>
        <v>55</v>
      </c>
      <c r="F207" s="16" t="n">
        <f aca="false">IF(A207=A206,C207-C206,"")</f>
        <v>-13.7400000000002</v>
      </c>
      <c r="G207" s="16" t="n">
        <f aca="false">IF(A207=A206,IF(F207&gt;0,F207,0),"")</f>
        <v>0</v>
      </c>
      <c r="H207" s="16" t="n">
        <f aca="false">IF(A207=A206,IF(F207&lt;0,-F207,0),"")</f>
        <v>13.7400000000002</v>
      </c>
    </row>
    <row r="208" customFormat="false" ht="15" hidden="false" customHeight="false" outlineLevel="0" collapsed="false">
      <c r="A208" s="14" t="s">
        <v>86</v>
      </c>
      <c r="B208" s="15" t="n">
        <v>46162</v>
      </c>
      <c r="C208" s="14" t="n">
        <v>2666.74</v>
      </c>
      <c r="D208" s="14" t="n">
        <v>1949170</v>
      </c>
      <c r="E208" s="16" t="n">
        <f aca="false">COUNTIFS($A$2:$A$1561,A208,$B$2:$B$1561,"&gt;"&amp;B208)+1</f>
        <v>54</v>
      </c>
      <c r="F208" s="16" t="n">
        <f aca="false">IF(A208=A207,C208-C207,"")</f>
        <v>0.679999999999836</v>
      </c>
      <c r="G208" s="16" t="n">
        <f aca="false">IF(A208=A207,IF(F208&gt;0,F208,0),"")</f>
        <v>0.679999999999836</v>
      </c>
      <c r="H208" s="16" t="n">
        <f aca="false">IF(A208=A207,IF(F208&lt;0,-F208,0),"")</f>
        <v>0</v>
      </c>
    </row>
    <row r="209" customFormat="false" ht="15" hidden="false" customHeight="false" outlineLevel="0" collapsed="false">
      <c r="A209" s="14" t="s">
        <v>86</v>
      </c>
      <c r="B209" s="15" t="n">
        <v>46163</v>
      </c>
      <c r="C209" s="14" t="n">
        <v>2691.05</v>
      </c>
      <c r="D209" s="14" t="n">
        <v>1549273</v>
      </c>
      <c r="E209" s="16" t="n">
        <f aca="false">COUNTIFS($A$2:$A$1561,A209,$B$2:$B$1561,"&gt;"&amp;B209)+1</f>
        <v>53</v>
      </c>
      <c r="F209" s="16" t="n">
        <f aca="false">IF(A209=A208,C209-C208,"")</f>
        <v>24.3100000000004</v>
      </c>
      <c r="G209" s="16" t="n">
        <f aca="false">IF(A209=A208,IF(F209&gt;0,F209,0),"")</f>
        <v>24.3100000000004</v>
      </c>
      <c r="H209" s="16" t="n">
        <f aca="false">IF(A209=A208,IF(F209&lt;0,-F209,0),"")</f>
        <v>0</v>
      </c>
    </row>
    <row r="210" customFormat="false" ht="15" hidden="false" customHeight="false" outlineLevel="0" collapsed="false">
      <c r="A210" s="14" t="s">
        <v>86</v>
      </c>
      <c r="B210" s="15" t="n">
        <v>46164</v>
      </c>
      <c r="C210" s="14" t="n">
        <v>2682</v>
      </c>
      <c r="D210" s="14" t="n">
        <v>701052</v>
      </c>
      <c r="E210" s="16" t="n">
        <f aca="false">COUNTIFS($A$2:$A$1561,A210,$B$2:$B$1561,"&gt;"&amp;B210)+1</f>
        <v>52</v>
      </c>
      <c r="F210" s="16" t="n">
        <f aca="false">IF(A210=A209,C210-C209,"")</f>
        <v>-9.05000000000018</v>
      </c>
      <c r="G210" s="16" t="n">
        <f aca="false">IF(A210=A209,IF(F210&gt;0,F210,0),"")</f>
        <v>0</v>
      </c>
      <c r="H210" s="16" t="n">
        <f aca="false">IF(A210=A209,IF(F210&lt;0,-F210,0),"")</f>
        <v>9.05000000000018</v>
      </c>
    </row>
    <row r="211" customFormat="false" ht="15" hidden="false" customHeight="false" outlineLevel="0" collapsed="false">
      <c r="A211" s="14" t="s">
        <v>86</v>
      </c>
      <c r="B211" s="15" t="n">
        <v>46167</v>
      </c>
      <c r="C211" s="14" t="n">
        <v>2668.68</v>
      </c>
      <c r="D211" s="14" t="n">
        <v>954966</v>
      </c>
      <c r="E211" s="16" t="n">
        <f aca="false">COUNTIFS($A$2:$A$1561,A211,$B$2:$B$1561,"&gt;"&amp;B211)+1</f>
        <v>51</v>
      </c>
      <c r="F211" s="16" t="n">
        <f aca="false">IF(A211=A210,C211-C210,"")</f>
        <v>-13.3200000000002</v>
      </c>
      <c r="G211" s="16" t="n">
        <f aca="false">IF(A211=A210,IF(F211&gt;0,F211,0),"")</f>
        <v>0</v>
      </c>
      <c r="H211" s="16" t="n">
        <f aca="false">IF(A211=A210,IF(F211&lt;0,-F211,0),"")</f>
        <v>13.3200000000002</v>
      </c>
    </row>
    <row r="212" customFormat="false" ht="15" hidden="false" customHeight="false" outlineLevel="0" collapsed="false">
      <c r="A212" s="14" t="s">
        <v>86</v>
      </c>
      <c r="B212" s="15" t="n">
        <v>46168</v>
      </c>
      <c r="C212" s="14" t="n">
        <v>2654.72</v>
      </c>
      <c r="D212" s="14" t="n">
        <v>528296</v>
      </c>
      <c r="E212" s="16" t="n">
        <f aca="false">COUNTIFS($A$2:$A$1561,A212,$B$2:$B$1561,"&gt;"&amp;B212)+1</f>
        <v>50</v>
      </c>
      <c r="F212" s="16" t="n">
        <f aca="false">IF(A212=A211,C212-C211,"")</f>
        <v>-13.96</v>
      </c>
      <c r="G212" s="16" t="n">
        <f aca="false">IF(A212=A211,IF(F212&gt;0,F212,0),"")</f>
        <v>0</v>
      </c>
      <c r="H212" s="16" t="n">
        <f aca="false">IF(A212=A211,IF(F212&lt;0,-F212,0),"")</f>
        <v>13.96</v>
      </c>
    </row>
    <row r="213" customFormat="false" ht="15" hidden="false" customHeight="false" outlineLevel="0" collapsed="false">
      <c r="A213" s="14" t="s">
        <v>86</v>
      </c>
      <c r="B213" s="15" t="n">
        <v>46169</v>
      </c>
      <c r="C213" s="14" t="n">
        <v>2657.79</v>
      </c>
      <c r="D213" s="14" t="n">
        <v>1048622</v>
      </c>
      <c r="E213" s="16" t="n">
        <f aca="false">COUNTIFS($A$2:$A$1561,A213,$B$2:$B$1561,"&gt;"&amp;B213)+1</f>
        <v>49</v>
      </c>
      <c r="F213" s="16" t="n">
        <f aca="false">IF(A213=A212,C213-C212,"")</f>
        <v>3.07000000000016</v>
      </c>
      <c r="G213" s="16" t="n">
        <f aca="false">IF(A213=A212,IF(F213&gt;0,F213,0),"")</f>
        <v>3.07000000000016</v>
      </c>
      <c r="H213" s="16" t="n">
        <f aca="false">IF(A213=A212,IF(F213&lt;0,-F213,0),"")</f>
        <v>0</v>
      </c>
    </row>
    <row r="214" customFormat="false" ht="15" hidden="false" customHeight="false" outlineLevel="0" collapsed="false">
      <c r="A214" s="14" t="s">
        <v>86</v>
      </c>
      <c r="B214" s="15" t="n">
        <v>46170</v>
      </c>
      <c r="C214" s="14" t="n">
        <v>2681.91</v>
      </c>
      <c r="D214" s="14" t="n">
        <v>1606717</v>
      </c>
      <c r="E214" s="16" t="n">
        <f aca="false">COUNTIFS($A$2:$A$1561,A214,$B$2:$B$1561,"&gt;"&amp;B214)+1</f>
        <v>48</v>
      </c>
      <c r="F214" s="16" t="n">
        <f aca="false">IF(A214=A213,C214-C213,"")</f>
        <v>24.1199999999999</v>
      </c>
      <c r="G214" s="16" t="n">
        <f aca="false">IF(A214=A213,IF(F214&gt;0,F214,0),"")</f>
        <v>24.1199999999999</v>
      </c>
      <c r="H214" s="16" t="n">
        <f aca="false">IF(A214=A213,IF(F214&lt;0,-F214,0),"")</f>
        <v>0</v>
      </c>
    </row>
    <row r="215" customFormat="false" ht="15" hidden="false" customHeight="false" outlineLevel="0" collapsed="false">
      <c r="A215" s="14" t="s">
        <v>86</v>
      </c>
      <c r="B215" s="15" t="n">
        <v>46171</v>
      </c>
      <c r="C215" s="14" t="n">
        <v>2692.89</v>
      </c>
      <c r="D215" s="14" t="n">
        <v>752558</v>
      </c>
      <c r="E215" s="16" t="n">
        <f aca="false">COUNTIFS($A$2:$A$1561,A215,$B$2:$B$1561,"&gt;"&amp;B215)+1</f>
        <v>47</v>
      </c>
      <c r="F215" s="16" t="n">
        <f aca="false">IF(A215=A214,C215-C214,"")</f>
        <v>10.98</v>
      </c>
      <c r="G215" s="16" t="n">
        <f aca="false">IF(A215=A214,IF(F215&gt;0,F215,0),"")</f>
        <v>10.98</v>
      </c>
      <c r="H215" s="16" t="n">
        <f aca="false">IF(A215=A214,IF(F215&lt;0,-F215,0),"")</f>
        <v>0</v>
      </c>
    </row>
    <row r="216" customFormat="false" ht="15" hidden="false" customHeight="false" outlineLevel="0" collapsed="false">
      <c r="A216" s="14" t="s">
        <v>86</v>
      </c>
      <c r="B216" s="15" t="n">
        <v>46174</v>
      </c>
      <c r="C216" s="14" t="n">
        <v>2712.2</v>
      </c>
      <c r="D216" s="14" t="n">
        <v>1481757</v>
      </c>
      <c r="E216" s="16" t="n">
        <f aca="false">COUNTIFS($A$2:$A$1561,A216,$B$2:$B$1561,"&gt;"&amp;B216)+1</f>
        <v>46</v>
      </c>
      <c r="F216" s="16" t="n">
        <f aca="false">IF(A216=A215,C216-C215,"")</f>
        <v>19.3099999999999</v>
      </c>
      <c r="G216" s="16" t="n">
        <f aca="false">IF(A216=A215,IF(F216&gt;0,F216,0),"")</f>
        <v>19.3099999999999</v>
      </c>
      <c r="H216" s="16" t="n">
        <f aca="false">IF(A216=A215,IF(F216&lt;0,-F216,0),"")</f>
        <v>0</v>
      </c>
    </row>
    <row r="217" customFormat="false" ht="15" hidden="false" customHeight="false" outlineLevel="0" collapsed="false">
      <c r="A217" s="14" t="s">
        <v>86</v>
      </c>
      <c r="B217" s="15" t="n">
        <v>46175</v>
      </c>
      <c r="C217" s="14" t="n">
        <v>2731.86</v>
      </c>
      <c r="D217" s="14" t="n">
        <v>1648128</v>
      </c>
      <c r="E217" s="16" t="n">
        <f aca="false">COUNTIFS($A$2:$A$1561,A217,$B$2:$B$1561,"&gt;"&amp;B217)+1</f>
        <v>45</v>
      </c>
      <c r="F217" s="16" t="n">
        <f aca="false">IF(A217=A216,C217-C216,"")</f>
        <v>19.6600000000003</v>
      </c>
      <c r="G217" s="16" t="n">
        <f aca="false">IF(A217=A216,IF(F217&gt;0,F217,0),"")</f>
        <v>19.6600000000003</v>
      </c>
      <c r="H217" s="16" t="n">
        <f aca="false">IF(A217=A216,IF(F217&lt;0,-F217,0),"")</f>
        <v>0</v>
      </c>
    </row>
    <row r="218" customFormat="false" ht="15" hidden="false" customHeight="false" outlineLevel="0" collapsed="false">
      <c r="A218" s="14" t="s">
        <v>86</v>
      </c>
      <c r="B218" s="15" t="n">
        <v>46176</v>
      </c>
      <c r="C218" s="14" t="n">
        <v>2731.83</v>
      </c>
      <c r="D218" s="14" t="n">
        <v>1380937</v>
      </c>
      <c r="E218" s="16" t="n">
        <f aca="false">COUNTIFS($A$2:$A$1561,A218,$B$2:$B$1561,"&gt;"&amp;B218)+1</f>
        <v>44</v>
      </c>
      <c r="F218" s="16" t="n">
        <f aca="false">IF(A218=A217,C218-C217,"")</f>
        <v>-0.0300000000002001</v>
      </c>
      <c r="G218" s="16" t="n">
        <f aca="false">IF(A218=A217,IF(F218&gt;0,F218,0),"")</f>
        <v>0</v>
      </c>
      <c r="H218" s="16" t="n">
        <f aca="false">IF(A218=A217,IF(F218&lt;0,-F218,0),"")</f>
        <v>0.0300000000002001</v>
      </c>
    </row>
    <row r="219" customFormat="false" ht="15" hidden="false" customHeight="false" outlineLevel="0" collapsed="false">
      <c r="A219" s="14" t="s">
        <v>86</v>
      </c>
      <c r="B219" s="15" t="n">
        <v>46177</v>
      </c>
      <c r="C219" s="14" t="n">
        <v>2717.79</v>
      </c>
      <c r="D219" s="14" t="n">
        <v>602753</v>
      </c>
      <c r="E219" s="16" t="n">
        <f aca="false">COUNTIFS($A$2:$A$1561,A219,$B$2:$B$1561,"&gt;"&amp;B219)+1</f>
        <v>43</v>
      </c>
      <c r="F219" s="16" t="n">
        <f aca="false">IF(A219=A218,C219-C218,"")</f>
        <v>-14.04</v>
      </c>
      <c r="G219" s="16" t="n">
        <f aca="false">IF(A219=A218,IF(F219&gt;0,F219,0),"")</f>
        <v>0</v>
      </c>
      <c r="H219" s="16" t="n">
        <f aca="false">IF(A219=A218,IF(F219&lt;0,-F219,0),"")</f>
        <v>14.04</v>
      </c>
    </row>
    <row r="220" customFormat="false" ht="15" hidden="false" customHeight="false" outlineLevel="0" collapsed="false">
      <c r="A220" s="14" t="s">
        <v>86</v>
      </c>
      <c r="B220" s="15" t="n">
        <v>46178</v>
      </c>
      <c r="C220" s="14" t="n">
        <v>2740.83</v>
      </c>
      <c r="D220" s="14" t="n">
        <v>1455458</v>
      </c>
      <c r="E220" s="16" t="n">
        <f aca="false">COUNTIFS($A$2:$A$1561,A220,$B$2:$B$1561,"&gt;"&amp;B220)+1</f>
        <v>42</v>
      </c>
      <c r="F220" s="16" t="n">
        <f aca="false">IF(A220=A219,C220-C219,"")</f>
        <v>23.04</v>
      </c>
      <c r="G220" s="16" t="n">
        <f aca="false">IF(A220=A219,IF(F220&gt;0,F220,0),"")</f>
        <v>23.04</v>
      </c>
      <c r="H220" s="16" t="n">
        <f aca="false">IF(A220=A219,IF(F220&lt;0,-F220,0),"")</f>
        <v>0</v>
      </c>
    </row>
    <row r="221" customFormat="false" ht="15" hidden="false" customHeight="false" outlineLevel="0" collapsed="false">
      <c r="A221" s="14" t="s">
        <v>86</v>
      </c>
      <c r="B221" s="15" t="n">
        <v>46181</v>
      </c>
      <c r="C221" s="14" t="n">
        <v>2758.2</v>
      </c>
      <c r="D221" s="14" t="n">
        <v>1301414</v>
      </c>
      <c r="E221" s="16" t="n">
        <f aca="false">COUNTIFS($A$2:$A$1561,A221,$B$2:$B$1561,"&gt;"&amp;B221)+1</f>
        <v>41</v>
      </c>
      <c r="F221" s="16" t="n">
        <f aca="false">IF(A221=A220,C221-C220,"")</f>
        <v>17.3699999999999</v>
      </c>
      <c r="G221" s="16" t="n">
        <f aca="false">IF(A221=A220,IF(F221&gt;0,F221,0),"")</f>
        <v>17.3699999999999</v>
      </c>
      <c r="H221" s="16" t="n">
        <f aca="false">IF(A221=A220,IF(F221&lt;0,-F221,0),"")</f>
        <v>0</v>
      </c>
    </row>
    <row r="222" customFormat="false" ht="15" hidden="false" customHeight="false" outlineLevel="0" collapsed="false">
      <c r="A222" s="14" t="s">
        <v>86</v>
      </c>
      <c r="B222" s="15" t="n">
        <v>46182</v>
      </c>
      <c r="C222" s="14" t="n">
        <v>2738.55</v>
      </c>
      <c r="D222" s="14" t="n">
        <v>1758891</v>
      </c>
      <c r="E222" s="16" t="n">
        <f aca="false">COUNTIFS($A$2:$A$1561,A222,$B$2:$B$1561,"&gt;"&amp;B222)+1</f>
        <v>40</v>
      </c>
      <c r="F222" s="16" t="n">
        <f aca="false">IF(A222=A221,C222-C221,"")</f>
        <v>-19.6499999999996</v>
      </c>
      <c r="G222" s="16" t="n">
        <f aca="false">IF(A222=A221,IF(F222&gt;0,F222,0),"")</f>
        <v>0</v>
      </c>
      <c r="H222" s="16" t="n">
        <f aca="false">IF(A222=A221,IF(F222&lt;0,-F222,0),"")</f>
        <v>19.6499999999996</v>
      </c>
    </row>
    <row r="223" customFormat="false" ht="15" hidden="false" customHeight="false" outlineLevel="0" collapsed="false">
      <c r="A223" s="14" t="s">
        <v>86</v>
      </c>
      <c r="B223" s="15" t="n">
        <v>46183</v>
      </c>
      <c r="C223" s="14" t="n">
        <v>2718.02</v>
      </c>
      <c r="D223" s="14" t="n">
        <v>798395</v>
      </c>
      <c r="E223" s="16" t="n">
        <f aca="false">COUNTIFS($A$2:$A$1561,A223,$B$2:$B$1561,"&gt;"&amp;B223)+1</f>
        <v>39</v>
      </c>
      <c r="F223" s="16" t="n">
        <f aca="false">IF(A223=A222,C223-C222,"")</f>
        <v>-20.5300000000002</v>
      </c>
      <c r="G223" s="16" t="n">
        <f aca="false">IF(A223=A222,IF(F223&gt;0,F223,0),"")</f>
        <v>0</v>
      </c>
      <c r="H223" s="16" t="n">
        <f aca="false">IF(A223=A222,IF(F223&lt;0,-F223,0),"")</f>
        <v>20.5300000000002</v>
      </c>
    </row>
    <row r="224" customFormat="false" ht="15" hidden="false" customHeight="false" outlineLevel="0" collapsed="false">
      <c r="A224" s="14" t="s">
        <v>86</v>
      </c>
      <c r="B224" s="15" t="n">
        <v>46184</v>
      </c>
      <c r="C224" s="14" t="n">
        <v>2722.57</v>
      </c>
      <c r="D224" s="14" t="n">
        <v>1107671</v>
      </c>
      <c r="E224" s="16" t="n">
        <f aca="false">COUNTIFS($A$2:$A$1561,A224,$B$2:$B$1561,"&gt;"&amp;B224)+1</f>
        <v>38</v>
      </c>
      <c r="F224" s="16" t="n">
        <f aca="false">IF(A224=A223,C224-C223,"")</f>
        <v>4.55000000000018</v>
      </c>
      <c r="G224" s="16" t="n">
        <f aca="false">IF(A224=A223,IF(F224&gt;0,F224,0),"")</f>
        <v>4.55000000000018</v>
      </c>
      <c r="H224" s="16" t="n">
        <f aca="false">IF(A224=A223,IF(F224&lt;0,-F224,0),"")</f>
        <v>0</v>
      </c>
    </row>
    <row r="225" customFormat="false" ht="15" hidden="false" customHeight="false" outlineLevel="0" collapsed="false">
      <c r="A225" s="14" t="s">
        <v>86</v>
      </c>
      <c r="B225" s="15" t="n">
        <v>46185</v>
      </c>
      <c r="C225" s="14" t="n">
        <v>2748.24</v>
      </c>
      <c r="D225" s="14" t="n">
        <v>736903</v>
      </c>
      <c r="E225" s="16" t="n">
        <f aca="false">COUNTIFS($A$2:$A$1561,A225,$B$2:$B$1561,"&gt;"&amp;B225)+1</f>
        <v>37</v>
      </c>
      <c r="F225" s="16" t="n">
        <f aca="false">IF(A225=A224,C225-C224,"")</f>
        <v>25.6699999999996</v>
      </c>
      <c r="G225" s="16" t="n">
        <f aca="false">IF(A225=A224,IF(F225&gt;0,F225,0),"")</f>
        <v>25.6699999999996</v>
      </c>
      <c r="H225" s="16" t="n">
        <f aca="false">IF(A225=A224,IF(F225&lt;0,-F225,0),"")</f>
        <v>0</v>
      </c>
    </row>
    <row r="226" customFormat="false" ht="15" hidden="false" customHeight="false" outlineLevel="0" collapsed="false">
      <c r="A226" s="14" t="s">
        <v>86</v>
      </c>
      <c r="B226" s="15" t="n">
        <v>46188</v>
      </c>
      <c r="C226" s="14" t="n">
        <v>2762.81</v>
      </c>
      <c r="D226" s="14" t="n">
        <v>1712635</v>
      </c>
      <c r="E226" s="16" t="n">
        <f aca="false">COUNTIFS($A$2:$A$1561,A226,$B$2:$B$1561,"&gt;"&amp;B226)+1</f>
        <v>36</v>
      </c>
      <c r="F226" s="16" t="n">
        <f aca="false">IF(A226=A225,C226-C225,"")</f>
        <v>14.5700000000002</v>
      </c>
      <c r="G226" s="16" t="n">
        <f aca="false">IF(A226=A225,IF(F226&gt;0,F226,0),"")</f>
        <v>14.5700000000002</v>
      </c>
      <c r="H226" s="16" t="n">
        <f aca="false">IF(A226=A225,IF(F226&lt;0,-F226,0),"")</f>
        <v>0</v>
      </c>
    </row>
    <row r="227" customFormat="false" ht="15" hidden="false" customHeight="false" outlineLevel="0" collapsed="false">
      <c r="A227" s="14" t="s">
        <v>86</v>
      </c>
      <c r="B227" s="15" t="n">
        <v>46189</v>
      </c>
      <c r="C227" s="14" t="n">
        <v>2778.76</v>
      </c>
      <c r="D227" s="14" t="n">
        <v>951374</v>
      </c>
      <c r="E227" s="16" t="n">
        <f aca="false">COUNTIFS($A$2:$A$1561,A227,$B$2:$B$1561,"&gt;"&amp;B227)+1</f>
        <v>35</v>
      </c>
      <c r="F227" s="16" t="n">
        <f aca="false">IF(A227=A226,C227-C226,"")</f>
        <v>15.9500000000003</v>
      </c>
      <c r="G227" s="16" t="n">
        <f aca="false">IF(A227=A226,IF(F227&gt;0,F227,0),"")</f>
        <v>15.9500000000003</v>
      </c>
      <c r="H227" s="16" t="n">
        <f aca="false">IF(A227=A226,IF(F227&lt;0,-F227,0),"")</f>
        <v>0</v>
      </c>
    </row>
    <row r="228" customFormat="false" ht="15" hidden="false" customHeight="false" outlineLevel="0" collapsed="false">
      <c r="A228" s="14" t="s">
        <v>86</v>
      </c>
      <c r="B228" s="15" t="n">
        <v>46190</v>
      </c>
      <c r="C228" s="14" t="n">
        <v>2781.39</v>
      </c>
      <c r="D228" s="14" t="n">
        <v>1401028</v>
      </c>
      <c r="E228" s="16" t="n">
        <f aca="false">COUNTIFS($A$2:$A$1561,A228,$B$2:$B$1561,"&gt;"&amp;B228)+1</f>
        <v>34</v>
      </c>
      <c r="F228" s="16" t="n">
        <f aca="false">IF(A228=A227,C228-C227,"")</f>
        <v>2.62999999999965</v>
      </c>
      <c r="G228" s="16" t="n">
        <f aca="false">IF(A228=A227,IF(F228&gt;0,F228,0),"")</f>
        <v>2.62999999999965</v>
      </c>
      <c r="H228" s="16" t="n">
        <f aca="false">IF(A228=A227,IF(F228&lt;0,-F228,0),"")</f>
        <v>0</v>
      </c>
    </row>
    <row r="229" customFormat="false" ht="15" hidden="false" customHeight="false" outlineLevel="0" collapsed="false">
      <c r="A229" s="14" t="s">
        <v>86</v>
      </c>
      <c r="B229" s="15" t="n">
        <v>46191</v>
      </c>
      <c r="C229" s="14" t="n">
        <v>2780.02</v>
      </c>
      <c r="D229" s="14" t="n">
        <v>2220333</v>
      </c>
      <c r="E229" s="16" t="n">
        <f aca="false">COUNTIFS($A$2:$A$1561,A229,$B$2:$B$1561,"&gt;"&amp;B229)+1</f>
        <v>33</v>
      </c>
      <c r="F229" s="16" t="n">
        <f aca="false">IF(A229=A228,C229-C228,"")</f>
        <v>-1.36999999999989</v>
      </c>
      <c r="G229" s="16" t="n">
        <f aca="false">IF(A229=A228,IF(F229&gt;0,F229,0),"")</f>
        <v>0</v>
      </c>
      <c r="H229" s="16" t="n">
        <f aca="false">IF(A229=A228,IF(F229&lt;0,-F229,0),"")</f>
        <v>1.36999999999989</v>
      </c>
    </row>
    <row r="230" customFormat="false" ht="15" hidden="false" customHeight="false" outlineLevel="0" collapsed="false">
      <c r="A230" s="14" t="s">
        <v>86</v>
      </c>
      <c r="B230" s="15" t="n">
        <v>46192</v>
      </c>
      <c r="C230" s="14" t="n">
        <v>2806.04</v>
      </c>
      <c r="D230" s="14" t="n">
        <v>1110760</v>
      </c>
      <c r="E230" s="16" t="n">
        <f aca="false">COUNTIFS($A$2:$A$1561,A230,$B$2:$B$1561,"&gt;"&amp;B230)+1</f>
        <v>32</v>
      </c>
      <c r="F230" s="16" t="n">
        <f aca="false">IF(A230=A229,C230-C229,"")</f>
        <v>26.02</v>
      </c>
      <c r="G230" s="16" t="n">
        <f aca="false">IF(A230=A229,IF(F230&gt;0,F230,0),"")</f>
        <v>26.02</v>
      </c>
      <c r="H230" s="16" t="n">
        <f aca="false">IF(A230=A229,IF(F230&lt;0,-F230,0),"")</f>
        <v>0</v>
      </c>
    </row>
    <row r="231" customFormat="false" ht="15" hidden="false" customHeight="false" outlineLevel="0" collapsed="false">
      <c r="A231" s="14" t="s">
        <v>86</v>
      </c>
      <c r="B231" s="15" t="n">
        <v>46195</v>
      </c>
      <c r="C231" s="14" t="n">
        <v>2813.67</v>
      </c>
      <c r="D231" s="14" t="n">
        <v>1719261</v>
      </c>
      <c r="E231" s="16" t="n">
        <f aca="false">COUNTIFS($A$2:$A$1561,A231,$B$2:$B$1561,"&gt;"&amp;B231)+1</f>
        <v>31</v>
      </c>
      <c r="F231" s="16" t="n">
        <f aca="false">IF(A231=A230,C231-C230,"")</f>
        <v>7.63000000000011</v>
      </c>
      <c r="G231" s="16" t="n">
        <f aca="false">IF(A231=A230,IF(F231&gt;0,F231,0),"")</f>
        <v>7.63000000000011</v>
      </c>
      <c r="H231" s="16" t="n">
        <f aca="false">IF(A231=A230,IF(F231&lt;0,-F231,0),"")</f>
        <v>0</v>
      </c>
    </row>
    <row r="232" customFormat="false" ht="15" hidden="false" customHeight="false" outlineLevel="0" collapsed="false">
      <c r="A232" s="14" t="s">
        <v>86</v>
      </c>
      <c r="B232" s="15" t="n">
        <v>46196</v>
      </c>
      <c r="C232" s="14" t="n">
        <v>2827.35</v>
      </c>
      <c r="D232" s="14" t="n">
        <v>2395180</v>
      </c>
      <c r="E232" s="16" t="n">
        <f aca="false">COUNTIFS($A$2:$A$1561,A232,$B$2:$B$1561,"&gt;"&amp;B232)+1</f>
        <v>30</v>
      </c>
      <c r="F232" s="16" t="n">
        <f aca="false">IF(A232=A231,C232-C231,"")</f>
        <v>13.6799999999998</v>
      </c>
      <c r="G232" s="16" t="n">
        <f aca="false">IF(A232=A231,IF(F232&gt;0,F232,0),"")</f>
        <v>13.6799999999998</v>
      </c>
      <c r="H232" s="16" t="n">
        <f aca="false">IF(A232=A231,IF(F232&lt;0,-F232,0),"")</f>
        <v>0</v>
      </c>
    </row>
    <row r="233" customFormat="false" ht="15" hidden="false" customHeight="false" outlineLevel="0" collapsed="false">
      <c r="A233" s="14" t="s">
        <v>86</v>
      </c>
      <c r="B233" s="15" t="n">
        <v>46197</v>
      </c>
      <c r="C233" s="14" t="n">
        <v>2814.01</v>
      </c>
      <c r="D233" s="14" t="n">
        <v>922050</v>
      </c>
      <c r="E233" s="16" t="n">
        <f aca="false">COUNTIFS($A$2:$A$1561,A233,$B$2:$B$1561,"&gt;"&amp;B233)+1</f>
        <v>29</v>
      </c>
      <c r="F233" s="16" t="n">
        <f aca="false">IF(A233=A232,C233-C232,"")</f>
        <v>-13.3399999999997</v>
      </c>
      <c r="G233" s="16" t="n">
        <f aca="false">IF(A233=A232,IF(F233&gt;0,F233,0),"")</f>
        <v>0</v>
      </c>
      <c r="H233" s="16" t="n">
        <f aca="false">IF(A233=A232,IF(F233&lt;0,-F233,0),"")</f>
        <v>13.3399999999997</v>
      </c>
    </row>
    <row r="234" customFormat="false" ht="15" hidden="false" customHeight="false" outlineLevel="0" collapsed="false">
      <c r="A234" s="14" t="s">
        <v>86</v>
      </c>
      <c r="B234" s="15" t="n">
        <v>46198</v>
      </c>
      <c r="C234" s="14" t="n">
        <v>2823.65</v>
      </c>
      <c r="D234" s="14" t="n">
        <v>814114</v>
      </c>
      <c r="E234" s="16" t="n">
        <f aca="false">COUNTIFS($A$2:$A$1561,A234,$B$2:$B$1561,"&gt;"&amp;B234)+1</f>
        <v>28</v>
      </c>
      <c r="F234" s="16" t="n">
        <f aca="false">IF(A234=A233,C234-C233,"")</f>
        <v>9.63999999999987</v>
      </c>
      <c r="G234" s="16" t="n">
        <f aca="false">IF(A234=A233,IF(F234&gt;0,F234,0),"")</f>
        <v>9.63999999999987</v>
      </c>
      <c r="H234" s="16" t="n">
        <f aca="false">IF(A234=A233,IF(F234&lt;0,-F234,0),"")</f>
        <v>0</v>
      </c>
    </row>
    <row r="235" customFormat="false" ht="15" hidden="false" customHeight="false" outlineLevel="0" collapsed="false">
      <c r="A235" s="14" t="s">
        <v>86</v>
      </c>
      <c r="B235" s="15" t="n">
        <v>46199</v>
      </c>
      <c r="C235" s="14" t="n">
        <v>2808.6</v>
      </c>
      <c r="D235" s="14" t="n">
        <v>650129</v>
      </c>
      <c r="E235" s="16" t="n">
        <f aca="false">COUNTIFS($A$2:$A$1561,A235,$B$2:$B$1561,"&gt;"&amp;B235)+1</f>
        <v>27</v>
      </c>
      <c r="F235" s="16" t="n">
        <f aca="false">IF(A235=A234,C235-C234,"")</f>
        <v>-15.0500000000002</v>
      </c>
      <c r="G235" s="16" t="n">
        <f aca="false">IF(A235=A234,IF(F235&gt;0,F235,0),"")</f>
        <v>0</v>
      </c>
      <c r="H235" s="16" t="n">
        <f aca="false">IF(A235=A234,IF(F235&lt;0,-F235,0),"")</f>
        <v>15.0500000000002</v>
      </c>
    </row>
    <row r="236" customFormat="false" ht="15" hidden="false" customHeight="false" outlineLevel="0" collapsed="false">
      <c r="A236" s="14" t="s">
        <v>86</v>
      </c>
      <c r="B236" s="15" t="n">
        <v>46202</v>
      </c>
      <c r="C236" s="14" t="n">
        <v>2784.97</v>
      </c>
      <c r="D236" s="14" t="n">
        <v>1401007</v>
      </c>
      <c r="E236" s="16" t="n">
        <f aca="false">COUNTIFS($A$2:$A$1561,A236,$B$2:$B$1561,"&gt;"&amp;B236)+1</f>
        <v>26</v>
      </c>
      <c r="F236" s="16" t="n">
        <f aca="false">IF(A236=A235,C236-C235,"")</f>
        <v>-23.6300000000001</v>
      </c>
      <c r="G236" s="16" t="n">
        <f aca="false">IF(A236=A235,IF(F236&gt;0,F236,0),"")</f>
        <v>0</v>
      </c>
      <c r="H236" s="16" t="n">
        <f aca="false">IF(A236=A235,IF(F236&lt;0,-F236,0),"")</f>
        <v>23.6300000000001</v>
      </c>
    </row>
    <row r="237" customFormat="false" ht="15" hidden="false" customHeight="false" outlineLevel="0" collapsed="false">
      <c r="A237" s="14" t="s">
        <v>86</v>
      </c>
      <c r="B237" s="15" t="n">
        <v>46203</v>
      </c>
      <c r="C237" s="14" t="n">
        <v>2791.18</v>
      </c>
      <c r="D237" s="14" t="n">
        <v>1082518</v>
      </c>
      <c r="E237" s="16" t="n">
        <f aca="false">COUNTIFS($A$2:$A$1561,A237,$B$2:$B$1561,"&gt;"&amp;B237)+1</f>
        <v>25</v>
      </c>
      <c r="F237" s="16" t="n">
        <f aca="false">IF(A237=A236,C237-C236,"")</f>
        <v>6.21000000000004</v>
      </c>
      <c r="G237" s="16" t="n">
        <f aca="false">IF(A237=A236,IF(F237&gt;0,F237,0),"")</f>
        <v>6.21000000000004</v>
      </c>
      <c r="H237" s="16" t="n">
        <f aca="false">IF(A237=A236,IF(F237&lt;0,-F237,0),"")</f>
        <v>0</v>
      </c>
    </row>
    <row r="238" customFormat="false" ht="15" hidden="false" customHeight="false" outlineLevel="0" collapsed="false">
      <c r="A238" s="14" t="s">
        <v>86</v>
      </c>
      <c r="B238" s="15" t="n">
        <v>46204</v>
      </c>
      <c r="C238" s="14" t="n">
        <v>2779.19</v>
      </c>
      <c r="D238" s="14" t="n">
        <v>1913911</v>
      </c>
      <c r="E238" s="16" t="n">
        <f aca="false">COUNTIFS($A$2:$A$1561,A238,$B$2:$B$1561,"&gt;"&amp;B238)+1</f>
        <v>24</v>
      </c>
      <c r="F238" s="16" t="n">
        <f aca="false">IF(A238=A237,C238-C237,"")</f>
        <v>-11.9899999999998</v>
      </c>
      <c r="G238" s="16" t="n">
        <f aca="false">IF(A238=A237,IF(F238&gt;0,F238,0),"")</f>
        <v>0</v>
      </c>
      <c r="H238" s="16" t="n">
        <f aca="false">IF(A238=A237,IF(F238&lt;0,-F238,0),"")</f>
        <v>11.9899999999998</v>
      </c>
    </row>
    <row r="239" customFormat="false" ht="15" hidden="false" customHeight="false" outlineLevel="0" collapsed="false">
      <c r="A239" s="14" t="s">
        <v>86</v>
      </c>
      <c r="B239" s="15" t="n">
        <v>46205</v>
      </c>
      <c r="C239" s="14" t="n">
        <v>2790.85</v>
      </c>
      <c r="D239" s="14" t="n">
        <v>1408062</v>
      </c>
      <c r="E239" s="16" t="n">
        <f aca="false">COUNTIFS($A$2:$A$1561,A239,$B$2:$B$1561,"&gt;"&amp;B239)+1</f>
        <v>23</v>
      </c>
      <c r="F239" s="16" t="n">
        <f aca="false">IF(A239=A238,C239-C238,"")</f>
        <v>11.6599999999999</v>
      </c>
      <c r="G239" s="16" t="n">
        <f aca="false">IF(A239=A238,IF(F239&gt;0,F239,0),"")</f>
        <v>11.6599999999999</v>
      </c>
      <c r="H239" s="16" t="n">
        <f aca="false">IF(A239=A238,IF(F239&lt;0,-F239,0),"")</f>
        <v>0</v>
      </c>
    </row>
    <row r="240" customFormat="false" ht="15" hidden="false" customHeight="false" outlineLevel="0" collapsed="false">
      <c r="A240" s="14" t="s">
        <v>86</v>
      </c>
      <c r="B240" s="15" t="n">
        <v>46206</v>
      </c>
      <c r="C240" s="14" t="n">
        <v>2801.77</v>
      </c>
      <c r="D240" s="14" t="n">
        <v>2347822</v>
      </c>
      <c r="E240" s="16" t="n">
        <f aca="false">COUNTIFS($A$2:$A$1561,A240,$B$2:$B$1561,"&gt;"&amp;B240)+1</f>
        <v>22</v>
      </c>
      <c r="F240" s="16" t="n">
        <f aca="false">IF(A240=A239,C240-C239,"")</f>
        <v>10.9200000000001</v>
      </c>
      <c r="G240" s="16" t="n">
        <f aca="false">IF(A240=A239,IF(F240&gt;0,F240,0),"")</f>
        <v>10.9200000000001</v>
      </c>
      <c r="H240" s="16" t="n">
        <f aca="false">IF(A240=A239,IF(F240&lt;0,-F240,0),"")</f>
        <v>0</v>
      </c>
    </row>
    <row r="241" customFormat="false" ht="15" hidden="false" customHeight="false" outlineLevel="0" collapsed="false">
      <c r="A241" s="14" t="s">
        <v>86</v>
      </c>
      <c r="B241" s="15" t="n">
        <v>46209</v>
      </c>
      <c r="C241" s="14" t="n">
        <v>2817.8</v>
      </c>
      <c r="D241" s="14" t="n">
        <v>1750116</v>
      </c>
      <c r="E241" s="16" t="n">
        <f aca="false">COUNTIFS($A$2:$A$1561,A241,$B$2:$B$1561,"&gt;"&amp;B241)+1</f>
        <v>21</v>
      </c>
      <c r="F241" s="16" t="n">
        <f aca="false">IF(A241=A240,C241-C240,"")</f>
        <v>16.0300000000002</v>
      </c>
      <c r="G241" s="16" t="n">
        <f aca="false">IF(A241=A240,IF(F241&gt;0,F241,0),"")</f>
        <v>16.0300000000002</v>
      </c>
      <c r="H241" s="16" t="n">
        <f aca="false">IF(A241=A240,IF(F241&lt;0,-F241,0),"")</f>
        <v>0</v>
      </c>
    </row>
    <row r="242" customFormat="false" ht="15" hidden="false" customHeight="false" outlineLevel="0" collapsed="false">
      <c r="A242" s="14" t="s">
        <v>86</v>
      </c>
      <c r="B242" s="15" t="n">
        <v>46210</v>
      </c>
      <c r="C242" s="14" t="n">
        <v>2827.5</v>
      </c>
      <c r="D242" s="14" t="n">
        <v>2367336</v>
      </c>
      <c r="E242" s="16" t="n">
        <f aca="false">COUNTIFS($A$2:$A$1561,A242,$B$2:$B$1561,"&gt;"&amp;B242)+1</f>
        <v>20</v>
      </c>
      <c r="F242" s="16" t="n">
        <f aca="false">IF(A242=A241,C242-C241,"")</f>
        <v>9.69999999999982</v>
      </c>
      <c r="G242" s="16" t="n">
        <f aca="false">IF(A242=A241,IF(F242&gt;0,F242,0),"")</f>
        <v>9.69999999999982</v>
      </c>
      <c r="H242" s="16" t="n">
        <f aca="false">IF(A242=A241,IF(F242&lt;0,-F242,0),"")</f>
        <v>0</v>
      </c>
    </row>
    <row r="243" customFormat="false" ht="15" hidden="false" customHeight="false" outlineLevel="0" collapsed="false">
      <c r="A243" s="14" t="s">
        <v>86</v>
      </c>
      <c r="B243" s="15" t="n">
        <v>46211</v>
      </c>
      <c r="C243" s="14" t="n">
        <v>2825.21</v>
      </c>
      <c r="D243" s="14" t="n">
        <v>1589124</v>
      </c>
      <c r="E243" s="16" t="n">
        <f aca="false">COUNTIFS($A$2:$A$1561,A243,$B$2:$B$1561,"&gt;"&amp;B243)+1</f>
        <v>19</v>
      </c>
      <c r="F243" s="16" t="n">
        <f aca="false">IF(A243=A242,C243-C242,"")</f>
        <v>-2.28999999999996</v>
      </c>
      <c r="G243" s="16" t="n">
        <f aca="false">IF(A243=A242,IF(F243&gt;0,F243,0),"")</f>
        <v>0</v>
      </c>
      <c r="H243" s="16" t="n">
        <f aca="false">IF(A243=A242,IF(F243&lt;0,-F243,0),"")</f>
        <v>2.28999999999996</v>
      </c>
    </row>
    <row r="244" customFormat="false" ht="15" hidden="false" customHeight="false" outlineLevel="0" collapsed="false">
      <c r="A244" s="14" t="s">
        <v>86</v>
      </c>
      <c r="B244" s="15" t="n">
        <v>46212</v>
      </c>
      <c r="C244" s="14" t="n">
        <v>2834.25</v>
      </c>
      <c r="D244" s="14" t="n">
        <v>2316822</v>
      </c>
      <c r="E244" s="16" t="n">
        <f aca="false">COUNTIFS($A$2:$A$1561,A244,$B$2:$B$1561,"&gt;"&amp;B244)+1</f>
        <v>18</v>
      </c>
      <c r="F244" s="16" t="n">
        <f aca="false">IF(A244=A243,C244-C243,"")</f>
        <v>9.03999999999996</v>
      </c>
      <c r="G244" s="16" t="n">
        <f aca="false">IF(A244=A243,IF(F244&gt;0,F244,0),"")</f>
        <v>9.03999999999996</v>
      </c>
      <c r="H244" s="16" t="n">
        <f aca="false">IF(A244=A243,IF(F244&lt;0,-F244,0),"")</f>
        <v>0</v>
      </c>
    </row>
    <row r="245" customFormat="false" ht="15" hidden="false" customHeight="false" outlineLevel="0" collapsed="false">
      <c r="A245" s="14" t="s">
        <v>86</v>
      </c>
      <c r="B245" s="15" t="n">
        <v>46213</v>
      </c>
      <c r="C245" s="14" t="n">
        <v>2852.44</v>
      </c>
      <c r="D245" s="14" t="n">
        <v>642819</v>
      </c>
      <c r="E245" s="16" t="n">
        <f aca="false">COUNTIFS($A$2:$A$1561,A245,$B$2:$B$1561,"&gt;"&amp;B245)+1</f>
        <v>17</v>
      </c>
      <c r="F245" s="16" t="n">
        <f aca="false">IF(A245=A244,C245-C244,"")</f>
        <v>18.1900000000001</v>
      </c>
      <c r="G245" s="16" t="n">
        <f aca="false">IF(A245=A244,IF(F245&gt;0,F245,0),"")</f>
        <v>18.1900000000001</v>
      </c>
      <c r="H245" s="16" t="n">
        <f aca="false">IF(A245=A244,IF(F245&lt;0,-F245,0),"")</f>
        <v>0</v>
      </c>
    </row>
    <row r="246" customFormat="false" ht="15" hidden="false" customHeight="false" outlineLevel="0" collapsed="false">
      <c r="A246" s="14" t="s">
        <v>86</v>
      </c>
      <c r="B246" s="15" t="n">
        <v>46216</v>
      </c>
      <c r="C246" s="14" t="n">
        <v>2836.83</v>
      </c>
      <c r="D246" s="14" t="n">
        <v>1115223</v>
      </c>
      <c r="E246" s="16" t="n">
        <f aca="false">COUNTIFS($A$2:$A$1561,A246,$B$2:$B$1561,"&gt;"&amp;B246)+1</f>
        <v>16</v>
      </c>
      <c r="F246" s="16" t="n">
        <f aca="false">IF(A246=A245,C246-C245,"")</f>
        <v>-15.6100000000001</v>
      </c>
      <c r="G246" s="16" t="n">
        <f aca="false">IF(A246=A245,IF(F246&gt;0,F246,0),"")</f>
        <v>0</v>
      </c>
      <c r="H246" s="16" t="n">
        <f aca="false">IF(A246=A245,IF(F246&lt;0,-F246,0),"")</f>
        <v>15.6100000000001</v>
      </c>
    </row>
    <row r="247" customFormat="false" ht="15" hidden="false" customHeight="false" outlineLevel="0" collapsed="false">
      <c r="A247" s="14" t="s">
        <v>86</v>
      </c>
      <c r="B247" s="15" t="n">
        <v>46217</v>
      </c>
      <c r="C247" s="14" t="n">
        <v>2851.07</v>
      </c>
      <c r="D247" s="14" t="n">
        <v>1638414</v>
      </c>
      <c r="E247" s="16" t="n">
        <f aca="false">COUNTIFS($A$2:$A$1561,A247,$B$2:$B$1561,"&gt;"&amp;B247)+1</f>
        <v>15</v>
      </c>
      <c r="F247" s="16" t="n">
        <f aca="false">IF(A247=A246,C247-C246,"")</f>
        <v>14.2400000000002</v>
      </c>
      <c r="G247" s="16" t="n">
        <f aca="false">IF(A247=A246,IF(F247&gt;0,F247,0),"")</f>
        <v>14.2400000000002</v>
      </c>
      <c r="H247" s="16" t="n">
        <f aca="false">IF(A247=A246,IF(F247&lt;0,-F247,0),"")</f>
        <v>0</v>
      </c>
    </row>
    <row r="248" customFormat="false" ht="15" hidden="false" customHeight="false" outlineLevel="0" collapsed="false">
      <c r="A248" s="14" t="s">
        <v>86</v>
      </c>
      <c r="B248" s="15" t="n">
        <v>46218</v>
      </c>
      <c r="C248" s="14" t="n">
        <v>2841.76</v>
      </c>
      <c r="D248" s="14" t="n">
        <v>748707</v>
      </c>
      <c r="E248" s="16" t="n">
        <f aca="false">COUNTIFS($A$2:$A$1561,A248,$B$2:$B$1561,"&gt;"&amp;B248)+1</f>
        <v>14</v>
      </c>
      <c r="F248" s="16" t="n">
        <f aca="false">IF(A248=A247,C248-C247,"")</f>
        <v>-9.30999999999995</v>
      </c>
      <c r="G248" s="16" t="n">
        <f aca="false">IF(A248=A247,IF(F248&gt;0,F248,0),"")</f>
        <v>0</v>
      </c>
      <c r="H248" s="16" t="n">
        <f aca="false">IF(A248=A247,IF(F248&lt;0,-F248,0),"")</f>
        <v>9.30999999999995</v>
      </c>
    </row>
    <row r="249" customFormat="false" ht="15" hidden="false" customHeight="false" outlineLevel="0" collapsed="false">
      <c r="A249" s="14" t="s">
        <v>86</v>
      </c>
      <c r="B249" s="15" t="n">
        <v>46219</v>
      </c>
      <c r="C249" s="14" t="n">
        <v>2852.95</v>
      </c>
      <c r="D249" s="14" t="n">
        <v>1899467</v>
      </c>
      <c r="E249" s="16" t="n">
        <f aca="false">COUNTIFS($A$2:$A$1561,A249,$B$2:$B$1561,"&gt;"&amp;B249)+1</f>
        <v>13</v>
      </c>
      <c r="F249" s="16" t="n">
        <f aca="false">IF(A249=A248,C249-C248,"")</f>
        <v>11.1899999999996</v>
      </c>
      <c r="G249" s="16" t="n">
        <f aca="false">IF(A249=A248,IF(F249&gt;0,F249,0),"")</f>
        <v>11.1899999999996</v>
      </c>
      <c r="H249" s="16" t="n">
        <f aca="false">IF(A249=A248,IF(F249&lt;0,-F249,0),"")</f>
        <v>0</v>
      </c>
    </row>
    <row r="250" customFormat="false" ht="15" hidden="false" customHeight="false" outlineLevel="0" collapsed="false">
      <c r="A250" s="14" t="s">
        <v>86</v>
      </c>
      <c r="B250" s="15" t="n">
        <v>46220</v>
      </c>
      <c r="C250" s="14" t="n">
        <v>2877.22</v>
      </c>
      <c r="D250" s="14" t="n">
        <v>1500944</v>
      </c>
      <c r="E250" s="16" t="n">
        <f aca="false">COUNTIFS($A$2:$A$1561,A250,$B$2:$B$1561,"&gt;"&amp;B250)+1</f>
        <v>12</v>
      </c>
      <c r="F250" s="16" t="n">
        <f aca="false">IF(A250=A249,C250-C249,"")</f>
        <v>24.27</v>
      </c>
      <c r="G250" s="16" t="n">
        <f aca="false">IF(A250=A249,IF(F250&gt;0,F250,0),"")</f>
        <v>24.27</v>
      </c>
      <c r="H250" s="16" t="n">
        <f aca="false">IF(A250=A249,IF(F250&lt;0,-F250,0),"")</f>
        <v>0</v>
      </c>
    </row>
    <row r="251" customFormat="false" ht="15" hidden="false" customHeight="false" outlineLevel="0" collapsed="false">
      <c r="A251" s="14" t="s">
        <v>86</v>
      </c>
      <c r="B251" s="15" t="n">
        <v>46223</v>
      </c>
      <c r="C251" s="14" t="n">
        <v>2878.45</v>
      </c>
      <c r="D251" s="14" t="n">
        <v>660883</v>
      </c>
      <c r="E251" s="16" t="n">
        <f aca="false">COUNTIFS($A$2:$A$1561,A251,$B$2:$B$1561,"&gt;"&amp;B251)+1</f>
        <v>11</v>
      </c>
      <c r="F251" s="16" t="n">
        <f aca="false">IF(A251=A250,C251-C250,"")</f>
        <v>1.23000000000002</v>
      </c>
      <c r="G251" s="16" t="n">
        <f aca="false">IF(A251=A250,IF(F251&gt;0,F251,0),"")</f>
        <v>1.23000000000002</v>
      </c>
      <c r="H251" s="16" t="n">
        <f aca="false">IF(A251=A250,IF(F251&lt;0,-F251,0),"")</f>
        <v>0</v>
      </c>
    </row>
    <row r="252" customFormat="false" ht="15" hidden="false" customHeight="false" outlineLevel="0" collapsed="false">
      <c r="A252" s="14" t="s">
        <v>86</v>
      </c>
      <c r="B252" s="15" t="n">
        <v>46224</v>
      </c>
      <c r="C252" s="14" t="n">
        <v>2856.17</v>
      </c>
      <c r="D252" s="14" t="n">
        <v>1364057</v>
      </c>
      <c r="E252" s="16" t="n">
        <f aca="false">COUNTIFS($A$2:$A$1561,A252,$B$2:$B$1561,"&gt;"&amp;B252)+1</f>
        <v>10</v>
      </c>
      <c r="F252" s="16" t="n">
        <f aca="false">IF(A252=A251,C252-C251,"")</f>
        <v>-22.2799999999997</v>
      </c>
      <c r="G252" s="16" t="n">
        <f aca="false">IF(A252=A251,IF(F252&gt;0,F252,0),"")</f>
        <v>0</v>
      </c>
      <c r="H252" s="16" t="n">
        <f aca="false">IF(A252=A251,IF(F252&lt;0,-F252,0),"")</f>
        <v>22.2799999999997</v>
      </c>
    </row>
    <row r="253" customFormat="false" ht="15" hidden="false" customHeight="false" outlineLevel="0" collapsed="false">
      <c r="A253" s="14" t="s">
        <v>86</v>
      </c>
      <c r="B253" s="15" t="n">
        <v>46225</v>
      </c>
      <c r="C253" s="14" t="n">
        <v>2848.58</v>
      </c>
      <c r="D253" s="14" t="n">
        <v>1000735</v>
      </c>
      <c r="E253" s="16" t="n">
        <f aca="false">COUNTIFS($A$2:$A$1561,A253,$B$2:$B$1561,"&gt;"&amp;B253)+1</f>
        <v>9</v>
      </c>
      <c r="F253" s="16" t="n">
        <f aca="false">IF(A253=A252,C253-C252,"")</f>
        <v>-7.59000000000015</v>
      </c>
      <c r="G253" s="16" t="n">
        <f aca="false">IF(A253=A252,IF(F253&gt;0,F253,0),"")</f>
        <v>0</v>
      </c>
      <c r="H253" s="16" t="n">
        <f aca="false">IF(A253=A252,IF(F253&lt;0,-F253,0),"")</f>
        <v>7.59000000000015</v>
      </c>
    </row>
    <row r="254" customFormat="false" ht="15" hidden="false" customHeight="false" outlineLevel="0" collapsed="false">
      <c r="A254" s="14" t="s">
        <v>86</v>
      </c>
      <c r="B254" s="15" t="n">
        <v>46226</v>
      </c>
      <c r="C254" s="14" t="n">
        <v>2829.16</v>
      </c>
      <c r="D254" s="14" t="n">
        <v>2423822</v>
      </c>
      <c r="E254" s="16" t="n">
        <f aca="false">COUNTIFS($A$2:$A$1561,A254,$B$2:$B$1561,"&gt;"&amp;B254)+1</f>
        <v>8</v>
      </c>
      <c r="F254" s="16" t="n">
        <f aca="false">IF(A254=A253,C254-C253,"")</f>
        <v>-19.4200000000001</v>
      </c>
      <c r="G254" s="16" t="n">
        <f aca="false">IF(A254=A253,IF(F254&gt;0,F254,0),"")</f>
        <v>0</v>
      </c>
      <c r="H254" s="16" t="n">
        <f aca="false">IF(A254=A253,IF(F254&lt;0,-F254,0),"")</f>
        <v>19.4200000000001</v>
      </c>
    </row>
    <row r="255" customFormat="false" ht="15" hidden="false" customHeight="false" outlineLevel="0" collapsed="false">
      <c r="A255" s="14" t="s">
        <v>86</v>
      </c>
      <c r="B255" s="15" t="n">
        <v>46227</v>
      </c>
      <c r="C255" s="14" t="n">
        <v>2847.8</v>
      </c>
      <c r="D255" s="14" t="n">
        <v>1650398</v>
      </c>
      <c r="E255" s="16" t="n">
        <f aca="false">COUNTIFS($A$2:$A$1561,A255,$B$2:$B$1561,"&gt;"&amp;B255)+1</f>
        <v>7</v>
      </c>
      <c r="F255" s="16" t="n">
        <f aca="false">IF(A255=A254,C255-C254,"")</f>
        <v>18.6400000000003</v>
      </c>
      <c r="G255" s="16" t="n">
        <f aca="false">IF(A255=A254,IF(F255&gt;0,F255,0),"")</f>
        <v>18.6400000000003</v>
      </c>
      <c r="H255" s="16" t="n">
        <f aca="false">IF(A255=A254,IF(F255&lt;0,-F255,0),"")</f>
        <v>0</v>
      </c>
    </row>
    <row r="256" customFormat="false" ht="15" hidden="false" customHeight="false" outlineLevel="0" collapsed="false">
      <c r="A256" s="14" t="s">
        <v>86</v>
      </c>
      <c r="B256" s="15" t="n">
        <v>46230</v>
      </c>
      <c r="C256" s="14" t="n">
        <v>2872.44</v>
      </c>
      <c r="D256" s="14" t="n">
        <v>2499144</v>
      </c>
      <c r="E256" s="16" t="n">
        <f aca="false">COUNTIFS($A$2:$A$1561,A256,$B$2:$B$1561,"&gt;"&amp;B256)+1</f>
        <v>6</v>
      </c>
      <c r="F256" s="16" t="n">
        <f aca="false">IF(A256=A255,C256-C255,"")</f>
        <v>24.6399999999999</v>
      </c>
      <c r="G256" s="16" t="n">
        <f aca="false">IF(A256=A255,IF(F256&gt;0,F256,0),"")</f>
        <v>24.6399999999999</v>
      </c>
      <c r="H256" s="16" t="n">
        <f aca="false">IF(A256=A255,IF(F256&lt;0,-F256,0),"")</f>
        <v>0</v>
      </c>
    </row>
    <row r="257" customFormat="false" ht="15" hidden="false" customHeight="false" outlineLevel="0" collapsed="false">
      <c r="A257" s="14" t="s">
        <v>86</v>
      </c>
      <c r="B257" s="15" t="n">
        <v>46231</v>
      </c>
      <c r="C257" s="14" t="n">
        <v>2882.9</v>
      </c>
      <c r="D257" s="14" t="n">
        <v>1039022</v>
      </c>
      <c r="E257" s="16" t="n">
        <f aca="false">COUNTIFS($A$2:$A$1561,A257,$B$2:$B$1561,"&gt;"&amp;B257)+1</f>
        <v>5</v>
      </c>
      <c r="F257" s="16" t="n">
        <f aca="false">IF(A257=A256,C257-C256,"")</f>
        <v>10.46</v>
      </c>
      <c r="G257" s="16" t="n">
        <f aca="false">IF(A257=A256,IF(F257&gt;0,F257,0),"")</f>
        <v>10.46</v>
      </c>
      <c r="H257" s="16" t="n">
        <f aca="false">IF(A257=A256,IF(F257&lt;0,-F257,0),"")</f>
        <v>0</v>
      </c>
    </row>
    <row r="258" customFormat="false" ht="15" hidden="false" customHeight="false" outlineLevel="0" collapsed="false">
      <c r="A258" s="14" t="s">
        <v>86</v>
      </c>
      <c r="B258" s="15" t="n">
        <v>46232</v>
      </c>
      <c r="C258" s="14" t="n">
        <v>2860.6</v>
      </c>
      <c r="D258" s="14" t="n">
        <v>2012537</v>
      </c>
      <c r="E258" s="16" t="n">
        <f aca="false">COUNTIFS($A$2:$A$1561,A258,$B$2:$B$1561,"&gt;"&amp;B258)+1</f>
        <v>4</v>
      </c>
      <c r="F258" s="16" t="n">
        <f aca="false">IF(A258=A257,C258-C257,"")</f>
        <v>-22.3000000000002</v>
      </c>
      <c r="G258" s="16" t="n">
        <f aca="false">IF(A258=A257,IF(F258&gt;0,F258,0),"")</f>
        <v>0</v>
      </c>
      <c r="H258" s="16" t="n">
        <f aca="false">IF(A258=A257,IF(F258&lt;0,-F258,0),"")</f>
        <v>22.3000000000002</v>
      </c>
    </row>
    <row r="259" customFormat="false" ht="15" hidden="false" customHeight="false" outlineLevel="0" collapsed="false">
      <c r="A259" s="14" t="s">
        <v>86</v>
      </c>
      <c r="B259" s="15" t="n">
        <v>46233</v>
      </c>
      <c r="C259" s="14" t="n">
        <v>2860.62</v>
      </c>
      <c r="D259" s="14" t="n">
        <v>1803018</v>
      </c>
      <c r="E259" s="16" t="n">
        <f aca="false">COUNTIFS($A$2:$A$1561,A259,$B$2:$B$1561,"&gt;"&amp;B259)+1</f>
        <v>3</v>
      </c>
      <c r="F259" s="16" t="n">
        <f aca="false">IF(A259=A258,C259-C258,"")</f>
        <v>0.0199999999999818</v>
      </c>
      <c r="G259" s="16" t="n">
        <f aca="false">IF(A259=A258,IF(F259&gt;0,F259,0),"")</f>
        <v>0.0199999999999818</v>
      </c>
      <c r="H259" s="16" t="n">
        <f aca="false">IF(A259=A258,IF(F259&lt;0,-F259,0),"")</f>
        <v>0</v>
      </c>
    </row>
    <row r="260" customFormat="false" ht="15" hidden="false" customHeight="false" outlineLevel="0" collapsed="false">
      <c r="A260" s="14" t="s">
        <v>86</v>
      </c>
      <c r="B260" s="15" t="n">
        <v>46234</v>
      </c>
      <c r="C260" s="14" t="n">
        <v>2883.59</v>
      </c>
      <c r="D260" s="14" t="n">
        <v>862978</v>
      </c>
      <c r="E260" s="16" t="n">
        <f aca="false">COUNTIFS($A$2:$A$1561,A260,$B$2:$B$1561,"&gt;"&amp;B260)+1</f>
        <v>2</v>
      </c>
      <c r="F260" s="16" t="n">
        <f aca="false">IF(A260=A259,C260-C259,"")</f>
        <v>22.9700000000003</v>
      </c>
      <c r="G260" s="16" t="n">
        <f aca="false">IF(A260=A259,IF(F260&gt;0,F260,0),"")</f>
        <v>22.9700000000003</v>
      </c>
      <c r="H260" s="16" t="n">
        <f aca="false">IF(A260=A259,IF(F260&lt;0,-F260,0),"")</f>
        <v>0</v>
      </c>
    </row>
    <row r="261" customFormat="false" ht="15" hidden="false" customHeight="false" outlineLevel="0" collapsed="false">
      <c r="A261" s="14" t="s">
        <v>86</v>
      </c>
      <c r="B261" s="15" t="n">
        <v>46237</v>
      </c>
      <c r="C261" s="14" t="n">
        <v>2889.58</v>
      </c>
      <c r="D261" s="14" t="n">
        <v>1769569</v>
      </c>
      <c r="E261" s="16" t="n">
        <f aca="false">COUNTIFS($A$2:$A$1561,A261,$B$2:$B$1561,"&gt;"&amp;B261)+1</f>
        <v>1</v>
      </c>
      <c r="F261" s="16" t="n">
        <f aca="false">IF(A261=A260,C261-C260,"")</f>
        <v>5.98999999999978</v>
      </c>
      <c r="G261" s="16" t="n">
        <f aca="false">IF(A261=A260,IF(F261&gt;0,F261,0),"")</f>
        <v>5.98999999999978</v>
      </c>
      <c r="H261" s="16" t="n">
        <f aca="false">IF(A261=A260,IF(F261&lt;0,-F261,0),"")</f>
        <v>0</v>
      </c>
    </row>
    <row r="262" customFormat="false" ht="15" hidden="false" customHeight="false" outlineLevel="0" collapsed="false">
      <c r="A262" s="14" t="s">
        <v>90</v>
      </c>
      <c r="B262" s="15" t="n">
        <v>45874</v>
      </c>
      <c r="C262" s="14" t="n">
        <v>2781.09</v>
      </c>
      <c r="D262" s="14" t="n">
        <v>682484</v>
      </c>
      <c r="E262" s="16" t="n">
        <f aca="false">COUNTIFS($A$2:$A$1561,A262,$B$2:$B$1561,"&gt;"&amp;B262)+1</f>
        <v>260</v>
      </c>
      <c r="F262" s="16" t="str">
        <f aca="false">IF(A262=A261,C262-C261,"")</f>
        <v/>
      </c>
      <c r="G262" s="16" t="str">
        <f aca="false">IF(A262=A261,IF(F262&gt;0,F262,0),"")</f>
        <v/>
      </c>
      <c r="H262" s="16" t="str">
        <f aca="false">IF(A262=A261,IF(F262&lt;0,-F262,0),"")</f>
        <v/>
      </c>
    </row>
    <row r="263" customFormat="false" ht="15" hidden="false" customHeight="false" outlineLevel="0" collapsed="false">
      <c r="A263" s="14" t="s">
        <v>90</v>
      </c>
      <c r="B263" s="15" t="n">
        <v>45875</v>
      </c>
      <c r="C263" s="14" t="n">
        <v>2774.98</v>
      </c>
      <c r="D263" s="14" t="n">
        <v>1166616</v>
      </c>
      <c r="E263" s="16" t="n">
        <f aca="false">COUNTIFS($A$2:$A$1561,A263,$B$2:$B$1561,"&gt;"&amp;B263)+1</f>
        <v>259</v>
      </c>
      <c r="F263" s="16" t="n">
        <f aca="false">IF(A263=A262,C263-C262,"")</f>
        <v>-6.11000000000013</v>
      </c>
      <c r="G263" s="16" t="n">
        <f aca="false">IF(A263=A262,IF(F263&gt;0,F263,0),"")</f>
        <v>0</v>
      </c>
      <c r="H263" s="16" t="n">
        <f aca="false">IF(A263=A262,IF(F263&lt;0,-F263,0),"")</f>
        <v>6.11000000000013</v>
      </c>
    </row>
    <row r="264" customFormat="false" ht="15" hidden="false" customHeight="false" outlineLevel="0" collapsed="false">
      <c r="A264" s="14" t="s">
        <v>90</v>
      </c>
      <c r="B264" s="15" t="n">
        <v>45876</v>
      </c>
      <c r="C264" s="14" t="n">
        <v>2784.97</v>
      </c>
      <c r="D264" s="14" t="n">
        <v>2215466</v>
      </c>
      <c r="E264" s="16" t="n">
        <f aca="false">COUNTIFS($A$2:$A$1561,A264,$B$2:$B$1561,"&gt;"&amp;B264)+1</f>
        <v>258</v>
      </c>
      <c r="F264" s="16" t="n">
        <f aca="false">IF(A264=A263,C264-C263,"")</f>
        <v>9.98999999999978</v>
      </c>
      <c r="G264" s="16" t="n">
        <f aca="false">IF(A264=A263,IF(F264&gt;0,F264,0),"")</f>
        <v>9.98999999999978</v>
      </c>
      <c r="H264" s="16" t="n">
        <f aca="false">IF(A264=A263,IF(F264&lt;0,-F264,0),"")</f>
        <v>0</v>
      </c>
    </row>
    <row r="265" customFormat="false" ht="15" hidden="false" customHeight="false" outlineLevel="0" collapsed="false">
      <c r="A265" s="14" t="s">
        <v>90</v>
      </c>
      <c r="B265" s="15" t="n">
        <v>45877</v>
      </c>
      <c r="C265" s="14" t="n">
        <v>2777.95</v>
      </c>
      <c r="D265" s="14" t="n">
        <v>1887347</v>
      </c>
      <c r="E265" s="16" t="n">
        <f aca="false">COUNTIFS($A$2:$A$1561,A265,$B$2:$B$1561,"&gt;"&amp;B265)+1</f>
        <v>257</v>
      </c>
      <c r="F265" s="16" t="n">
        <f aca="false">IF(A265=A264,C265-C264,"")</f>
        <v>-7.01999999999998</v>
      </c>
      <c r="G265" s="16" t="n">
        <f aca="false">IF(A265=A264,IF(F265&gt;0,F265,0),"")</f>
        <v>0</v>
      </c>
      <c r="H265" s="16" t="n">
        <f aca="false">IF(A265=A264,IF(F265&lt;0,-F265,0),"")</f>
        <v>7.01999999999998</v>
      </c>
    </row>
    <row r="266" customFormat="false" ht="15" hidden="false" customHeight="false" outlineLevel="0" collapsed="false">
      <c r="A266" s="14" t="s">
        <v>90</v>
      </c>
      <c r="B266" s="15" t="n">
        <v>45880</v>
      </c>
      <c r="C266" s="14" t="n">
        <v>2768.86</v>
      </c>
      <c r="D266" s="14" t="n">
        <v>2390387</v>
      </c>
      <c r="E266" s="16" t="n">
        <f aca="false">COUNTIFS($A$2:$A$1561,A266,$B$2:$B$1561,"&gt;"&amp;B266)+1</f>
        <v>256</v>
      </c>
      <c r="F266" s="16" t="n">
        <f aca="false">IF(A266=A265,C266-C265,"")</f>
        <v>-9.08999999999969</v>
      </c>
      <c r="G266" s="16" t="n">
        <f aca="false">IF(A266=A265,IF(F266&gt;0,F266,0),"")</f>
        <v>0</v>
      </c>
      <c r="H266" s="16" t="n">
        <f aca="false">IF(A266=A265,IF(F266&lt;0,-F266,0),"")</f>
        <v>9.08999999999969</v>
      </c>
    </row>
    <row r="267" customFormat="false" ht="15" hidden="false" customHeight="false" outlineLevel="0" collapsed="false">
      <c r="A267" s="14" t="s">
        <v>90</v>
      </c>
      <c r="B267" s="15" t="n">
        <v>45881</v>
      </c>
      <c r="C267" s="14" t="n">
        <v>2785.98</v>
      </c>
      <c r="D267" s="14" t="n">
        <v>1600193</v>
      </c>
      <c r="E267" s="16" t="n">
        <f aca="false">COUNTIFS($A$2:$A$1561,A267,$B$2:$B$1561,"&gt;"&amp;B267)+1</f>
        <v>255</v>
      </c>
      <c r="F267" s="16" t="n">
        <f aca="false">IF(A267=A266,C267-C266,"")</f>
        <v>17.1199999999999</v>
      </c>
      <c r="G267" s="16" t="n">
        <f aca="false">IF(A267=A266,IF(F267&gt;0,F267,0),"")</f>
        <v>17.1199999999999</v>
      </c>
      <c r="H267" s="16" t="n">
        <f aca="false">IF(A267=A266,IF(F267&lt;0,-F267,0),"")</f>
        <v>0</v>
      </c>
    </row>
    <row r="268" customFormat="false" ht="15" hidden="false" customHeight="false" outlineLevel="0" collapsed="false">
      <c r="A268" s="14" t="s">
        <v>90</v>
      </c>
      <c r="B268" s="15" t="n">
        <v>45882</v>
      </c>
      <c r="C268" s="14" t="n">
        <v>2785.22</v>
      </c>
      <c r="D268" s="14" t="n">
        <v>1129034</v>
      </c>
      <c r="E268" s="16" t="n">
        <f aca="false">COUNTIFS($A$2:$A$1561,A268,$B$2:$B$1561,"&gt;"&amp;B268)+1</f>
        <v>254</v>
      </c>
      <c r="F268" s="16" t="n">
        <f aca="false">IF(A268=A267,C268-C267,"")</f>
        <v>-0.760000000000218</v>
      </c>
      <c r="G268" s="16" t="n">
        <f aca="false">IF(A268=A267,IF(F268&gt;0,F268,0),"")</f>
        <v>0</v>
      </c>
      <c r="H268" s="16" t="n">
        <f aca="false">IF(A268=A267,IF(F268&lt;0,-F268,0),"")</f>
        <v>0.760000000000218</v>
      </c>
    </row>
    <row r="269" customFormat="false" ht="15" hidden="false" customHeight="false" outlineLevel="0" collapsed="false">
      <c r="A269" s="14" t="s">
        <v>90</v>
      </c>
      <c r="B269" s="15" t="n">
        <v>45883</v>
      </c>
      <c r="C269" s="14" t="n">
        <v>2777.86</v>
      </c>
      <c r="D269" s="14" t="n">
        <v>2440369</v>
      </c>
      <c r="E269" s="16" t="n">
        <f aca="false">COUNTIFS($A$2:$A$1561,A269,$B$2:$B$1561,"&gt;"&amp;B269)+1</f>
        <v>253</v>
      </c>
      <c r="F269" s="16" t="n">
        <f aca="false">IF(A269=A268,C269-C268,"")</f>
        <v>-7.35999999999967</v>
      </c>
      <c r="G269" s="16" t="n">
        <f aca="false">IF(A269=A268,IF(F269&gt;0,F269,0),"")</f>
        <v>0</v>
      </c>
      <c r="H269" s="16" t="n">
        <f aca="false">IF(A269=A268,IF(F269&lt;0,-F269,0),"")</f>
        <v>7.35999999999967</v>
      </c>
    </row>
    <row r="270" customFormat="false" ht="15" hidden="false" customHeight="false" outlineLevel="0" collapsed="false">
      <c r="A270" s="14" t="s">
        <v>90</v>
      </c>
      <c r="B270" s="15" t="n">
        <v>45884</v>
      </c>
      <c r="C270" s="14" t="n">
        <v>2774.57</v>
      </c>
      <c r="D270" s="14" t="n">
        <v>1529192</v>
      </c>
      <c r="E270" s="16" t="n">
        <f aca="false">COUNTIFS($A$2:$A$1561,A270,$B$2:$B$1561,"&gt;"&amp;B270)+1</f>
        <v>252</v>
      </c>
      <c r="F270" s="16" t="n">
        <f aca="false">IF(A270=A269,C270-C269,"")</f>
        <v>-3.28999999999996</v>
      </c>
      <c r="G270" s="16" t="n">
        <f aca="false">IF(A270=A269,IF(F270&gt;0,F270,0),"")</f>
        <v>0</v>
      </c>
      <c r="H270" s="16" t="n">
        <f aca="false">IF(A270=A269,IF(F270&lt;0,-F270,0),"")</f>
        <v>3.28999999999996</v>
      </c>
    </row>
    <row r="271" customFormat="false" ht="15" hidden="false" customHeight="false" outlineLevel="0" collapsed="false">
      <c r="A271" s="14" t="s">
        <v>90</v>
      </c>
      <c r="B271" s="15" t="n">
        <v>45887</v>
      </c>
      <c r="C271" s="14" t="n">
        <v>2800.45</v>
      </c>
      <c r="D271" s="14" t="n">
        <v>1815320</v>
      </c>
      <c r="E271" s="16" t="n">
        <f aca="false">COUNTIFS($A$2:$A$1561,A271,$B$2:$B$1561,"&gt;"&amp;B271)+1</f>
        <v>251</v>
      </c>
      <c r="F271" s="16" t="n">
        <f aca="false">IF(A271=A270,C271-C270,"")</f>
        <v>25.8799999999997</v>
      </c>
      <c r="G271" s="16" t="n">
        <f aca="false">IF(A271=A270,IF(F271&gt;0,F271,0),"")</f>
        <v>25.8799999999997</v>
      </c>
      <c r="H271" s="16" t="n">
        <f aca="false">IF(A271=A270,IF(F271&lt;0,-F271,0),"")</f>
        <v>0</v>
      </c>
    </row>
    <row r="272" customFormat="false" ht="15" hidden="false" customHeight="false" outlineLevel="0" collapsed="false">
      <c r="A272" s="14" t="s">
        <v>90</v>
      </c>
      <c r="B272" s="15" t="n">
        <v>45888</v>
      </c>
      <c r="C272" s="14" t="n">
        <v>2804.11</v>
      </c>
      <c r="D272" s="14" t="n">
        <v>1326495</v>
      </c>
      <c r="E272" s="16" t="n">
        <f aca="false">COUNTIFS($A$2:$A$1561,A272,$B$2:$B$1561,"&gt;"&amp;B272)+1</f>
        <v>250</v>
      </c>
      <c r="F272" s="16" t="n">
        <f aca="false">IF(A272=A271,C272-C271,"")</f>
        <v>3.66000000000031</v>
      </c>
      <c r="G272" s="16" t="n">
        <f aca="false">IF(A272=A271,IF(F272&gt;0,F272,0),"")</f>
        <v>3.66000000000031</v>
      </c>
      <c r="H272" s="16" t="n">
        <f aca="false">IF(A272=A271,IF(F272&lt;0,-F272,0),"")</f>
        <v>0</v>
      </c>
    </row>
    <row r="273" customFormat="false" ht="15" hidden="false" customHeight="false" outlineLevel="0" collapsed="false">
      <c r="A273" s="14" t="s">
        <v>90</v>
      </c>
      <c r="B273" s="15" t="n">
        <v>45889</v>
      </c>
      <c r="C273" s="14" t="n">
        <v>2789.85</v>
      </c>
      <c r="D273" s="14" t="n">
        <v>1223558</v>
      </c>
      <c r="E273" s="16" t="n">
        <f aca="false">COUNTIFS($A$2:$A$1561,A273,$B$2:$B$1561,"&gt;"&amp;B273)+1</f>
        <v>249</v>
      </c>
      <c r="F273" s="16" t="n">
        <f aca="false">IF(A273=A272,C273-C272,"")</f>
        <v>-14.2600000000002</v>
      </c>
      <c r="G273" s="16" t="n">
        <f aca="false">IF(A273=A272,IF(F273&gt;0,F273,0),"")</f>
        <v>0</v>
      </c>
      <c r="H273" s="16" t="n">
        <f aca="false">IF(A273=A272,IF(F273&lt;0,-F273,0),"")</f>
        <v>14.2600000000002</v>
      </c>
    </row>
    <row r="274" customFormat="false" ht="15" hidden="false" customHeight="false" outlineLevel="0" collapsed="false">
      <c r="A274" s="14" t="s">
        <v>90</v>
      </c>
      <c r="B274" s="15" t="n">
        <v>45890</v>
      </c>
      <c r="C274" s="14" t="n">
        <v>2804.24</v>
      </c>
      <c r="D274" s="14" t="n">
        <v>1750817</v>
      </c>
      <c r="E274" s="16" t="n">
        <f aca="false">COUNTIFS($A$2:$A$1561,A274,$B$2:$B$1561,"&gt;"&amp;B274)+1</f>
        <v>248</v>
      </c>
      <c r="F274" s="16" t="n">
        <f aca="false">IF(A274=A273,C274-C273,"")</f>
        <v>14.3899999999999</v>
      </c>
      <c r="G274" s="16" t="n">
        <f aca="false">IF(A274=A273,IF(F274&gt;0,F274,0),"")</f>
        <v>14.3899999999999</v>
      </c>
      <c r="H274" s="16" t="n">
        <f aca="false">IF(A274=A273,IF(F274&lt;0,-F274,0),"")</f>
        <v>0</v>
      </c>
    </row>
    <row r="275" customFormat="false" ht="15" hidden="false" customHeight="false" outlineLevel="0" collapsed="false">
      <c r="A275" s="14" t="s">
        <v>90</v>
      </c>
      <c r="B275" s="15" t="n">
        <v>45891</v>
      </c>
      <c r="C275" s="14" t="n">
        <v>2818.87</v>
      </c>
      <c r="D275" s="14" t="n">
        <v>907116</v>
      </c>
      <c r="E275" s="16" t="n">
        <f aca="false">COUNTIFS($A$2:$A$1561,A275,$B$2:$B$1561,"&gt;"&amp;B275)+1</f>
        <v>247</v>
      </c>
      <c r="F275" s="16" t="n">
        <f aca="false">IF(A275=A274,C275-C274,"")</f>
        <v>14.6300000000001</v>
      </c>
      <c r="G275" s="16" t="n">
        <f aca="false">IF(A275=A274,IF(F275&gt;0,F275,0),"")</f>
        <v>14.6300000000001</v>
      </c>
      <c r="H275" s="16" t="n">
        <f aca="false">IF(A275=A274,IF(F275&lt;0,-F275,0),"")</f>
        <v>0</v>
      </c>
    </row>
    <row r="276" customFormat="false" ht="15" hidden="false" customHeight="false" outlineLevel="0" collapsed="false">
      <c r="A276" s="14" t="s">
        <v>90</v>
      </c>
      <c r="B276" s="15" t="n">
        <v>45894</v>
      </c>
      <c r="C276" s="14" t="n">
        <v>2822.89</v>
      </c>
      <c r="D276" s="14" t="n">
        <v>2355345</v>
      </c>
      <c r="E276" s="16" t="n">
        <f aca="false">COUNTIFS($A$2:$A$1561,A276,$B$2:$B$1561,"&gt;"&amp;B276)+1</f>
        <v>246</v>
      </c>
      <c r="F276" s="16" t="n">
        <f aca="false">IF(A276=A275,C276-C275,"")</f>
        <v>4.01999999999998</v>
      </c>
      <c r="G276" s="16" t="n">
        <f aca="false">IF(A276=A275,IF(F276&gt;0,F276,0),"")</f>
        <v>4.01999999999998</v>
      </c>
      <c r="H276" s="16" t="n">
        <f aca="false">IF(A276=A275,IF(F276&lt;0,-F276,0),"")</f>
        <v>0</v>
      </c>
    </row>
    <row r="277" customFormat="false" ht="15" hidden="false" customHeight="false" outlineLevel="0" collapsed="false">
      <c r="A277" s="14" t="s">
        <v>90</v>
      </c>
      <c r="B277" s="15" t="n">
        <v>45895</v>
      </c>
      <c r="C277" s="14" t="n">
        <v>2821.27</v>
      </c>
      <c r="D277" s="14" t="n">
        <v>1896500</v>
      </c>
      <c r="E277" s="16" t="n">
        <f aca="false">COUNTIFS($A$2:$A$1561,A277,$B$2:$B$1561,"&gt;"&amp;B277)+1</f>
        <v>245</v>
      </c>
      <c r="F277" s="16" t="n">
        <f aca="false">IF(A277=A276,C277-C276,"")</f>
        <v>-1.61999999999989</v>
      </c>
      <c r="G277" s="16" t="n">
        <f aca="false">IF(A277=A276,IF(F277&gt;0,F277,0),"")</f>
        <v>0</v>
      </c>
      <c r="H277" s="16" t="n">
        <f aca="false">IF(A277=A276,IF(F277&lt;0,-F277,0),"")</f>
        <v>1.61999999999989</v>
      </c>
    </row>
    <row r="278" customFormat="false" ht="15" hidden="false" customHeight="false" outlineLevel="0" collapsed="false">
      <c r="A278" s="14" t="s">
        <v>90</v>
      </c>
      <c r="B278" s="15" t="n">
        <v>45896</v>
      </c>
      <c r="C278" s="14" t="n">
        <v>2803.57</v>
      </c>
      <c r="D278" s="14" t="n">
        <v>2446293</v>
      </c>
      <c r="E278" s="16" t="n">
        <f aca="false">COUNTIFS($A$2:$A$1561,A278,$B$2:$B$1561,"&gt;"&amp;B278)+1</f>
        <v>244</v>
      </c>
      <c r="F278" s="16" t="n">
        <f aca="false">IF(A278=A277,C278-C277,"")</f>
        <v>-17.6999999999998</v>
      </c>
      <c r="G278" s="16" t="n">
        <f aca="false">IF(A278=A277,IF(F278&gt;0,F278,0),"")</f>
        <v>0</v>
      </c>
      <c r="H278" s="16" t="n">
        <f aca="false">IF(A278=A277,IF(F278&lt;0,-F278,0),"")</f>
        <v>17.6999999999998</v>
      </c>
    </row>
    <row r="279" customFormat="false" ht="15" hidden="false" customHeight="false" outlineLevel="0" collapsed="false">
      <c r="A279" s="14" t="s">
        <v>90</v>
      </c>
      <c r="B279" s="15" t="n">
        <v>45897</v>
      </c>
      <c r="C279" s="14" t="n">
        <v>2810.58</v>
      </c>
      <c r="D279" s="14" t="n">
        <v>978594</v>
      </c>
      <c r="E279" s="16" t="n">
        <f aca="false">COUNTIFS($A$2:$A$1561,A279,$B$2:$B$1561,"&gt;"&amp;B279)+1</f>
        <v>243</v>
      </c>
      <c r="F279" s="16" t="n">
        <f aca="false">IF(A279=A278,C279-C278,"")</f>
        <v>7.00999999999976</v>
      </c>
      <c r="G279" s="16" t="n">
        <f aca="false">IF(A279=A278,IF(F279&gt;0,F279,0),"")</f>
        <v>7.00999999999976</v>
      </c>
      <c r="H279" s="16" t="n">
        <f aca="false">IF(A279=A278,IF(F279&lt;0,-F279,0),"")</f>
        <v>0</v>
      </c>
    </row>
    <row r="280" customFormat="false" ht="15" hidden="false" customHeight="false" outlineLevel="0" collapsed="false">
      <c r="A280" s="14" t="s">
        <v>90</v>
      </c>
      <c r="B280" s="15" t="n">
        <v>45898</v>
      </c>
      <c r="C280" s="14" t="n">
        <v>2794.82</v>
      </c>
      <c r="D280" s="14" t="n">
        <v>1601678</v>
      </c>
      <c r="E280" s="16" t="n">
        <f aca="false">COUNTIFS($A$2:$A$1561,A280,$B$2:$B$1561,"&gt;"&amp;B280)+1</f>
        <v>242</v>
      </c>
      <c r="F280" s="16" t="n">
        <f aca="false">IF(A280=A279,C280-C279,"")</f>
        <v>-15.7599999999998</v>
      </c>
      <c r="G280" s="16" t="n">
        <f aca="false">IF(A280=A279,IF(F280&gt;0,F280,0),"")</f>
        <v>0</v>
      </c>
      <c r="H280" s="16" t="n">
        <f aca="false">IF(A280=A279,IF(F280&lt;0,-F280,0),"")</f>
        <v>15.7599999999998</v>
      </c>
    </row>
    <row r="281" customFormat="false" ht="15" hidden="false" customHeight="false" outlineLevel="0" collapsed="false">
      <c r="A281" s="14" t="s">
        <v>90</v>
      </c>
      <c r="B281" s="15" t="n">
        <v>45901</v>
      </c>
      <c r="C281" s="14" t="n">
        <v>2798.95</v>
      </c>
      <c r="D281" s="14" t="n">
        <v>686418</v>
      </c>
      <c r="E281" s="16" t="n">
        <f aca="false">COUNTIFS($A$2:$A$1561,A281,$B$2:$B$1561,"&gt;"&amp;B281)+1</f>
        <v>241</v>
      </c>
      <c r="F281" s="16" t="n">
        <f aca="false">IF(A281=A280,C281-C280,"")</f>
        <v>4.12999999999965</v>
      </c>
      <c r="G281" s="16" t="n">
        <f aca="false">IF(A281=A280,IF(F281&gt;0,F281,0),"")</f>
        <v>4.12999999999965</v>
      </c>
      <c r="H281" s="16" t="n">
        <f aca="false">IF(A281=A280,IF(F281&lt;0,-F281,0),"")</f>
        <v>0</v>
      </c>
    </row>
    <row r="282" customFormat="false" ht="15" hidden="false" customHeight="false" outlineLevel="0" collapsed="false">
      <c r="A282" s="14" t="s">
        <v>90</v>
      </c>
      <c r="B282" s="15" t="n">
        <v>45902</v>
      </c>
      <c r="C282" s="14" t="n">
        <v>2825.27</v>
      </c>
      <c r="D282" s="14" t="n">
        <v>2325859</v>
      </c>
      <c r="E282" s="16" t="n">
        <f aca="false">COUNTIFS($A$2:$A$1561,A282,$B$2:$B$1561,"&gt;"&amp;B282)+1</f>
        <v>240</v>
      </c>
      <c r="F282" s="16" t="n">
        <f aca="false">IF(A282=A281,C282-C281,"")</f>
        <v>26.3200000000002</v>
      </c>
      <c r="G282" s="16" t="n">
        <f aca="false">IF(A282=A281,IF(F282&gt;0,F282,0),"")</f>
        <v>26.3200000000002</v>
      </c>
      <c r="H282" s="16" t="n">
        <f aca="false">IF(A282=A281,IF(F282&lt;0,-F282,0),"")</f>
        <v>0</v>
      </c>
    </row>
    <row r="283" customFormat="false" ht="15" hidden="false" customHeight="false" outlineLevel="0" collapsed="false">
      <c r="A283" s="14" t="s">
        <v>90</v>
      </c>
      <c r="B283" s="15" t="n">
        <v>45903</v>
      </c>
      <c r="C283" s="14" t="n">
        <v>2824.83</v>
      </c>
      <c r="D283" s="14" t="n">
        <v>734932</v>
      </c>
      <c r="E283" s="16" t="n">
        <f aca="false">COUNTIFS($A$2:$A$1561,A283,$B$2:$B$1561,"&gt;"&amp;B283)+1</f>
        <v>239</v>
      </c>
      <c r="F283" s="16" t="n">
        <f aca="false">IF(A283=A282,C283-C282,"")</f>
        <v>-0.440000000000055</v>
      </c>
      <c r="G283" s="16" t="n">
        <f aca="false">IF(A283=A282,IF(F283&gt;0,F283,0),"")</f>
        <v>0</v>
      </c>
      <c r="H283" s="16" t="n">
        <f aca="false">IF(A283=A282,IF(F283&lt;0,-F283,0),"")</f>
        <v>0.440000000000055</v>
      </c>
    </row>
    <row r="284" customFormat="false" ht="15" hidden="false" customHeight="false" outlineLevel="0" collapsed="false">
      <c r="A284" s="14" t="s">
        <v>90</v>
      </c>
      <c r="B284" s="15" t="n">
        <v>45904</v>
      </c>
      <c r="C284" s="14" t="n">
        <v>2843.24</v>
      </c>
      <c r="D284" s="14" t="n">
        <v>1496751</v>
      </c>
      <c r="E284" s="16" t="n">
        <f aca="false">COUNTIFS($A$2:$A$1561,A284,$B$2:$B$1561,"&gt;"&amp;B284)+1</f>
        <v>238</v>
      </c>
      <c r="F284" s="16" t="n">
        <f aca="false">IF(A284=A283,C284-C283,"")</f>
        <v>18.4099999999999</v>
      </c>
      <c r="G284" s="16" t="n">
        <f aca="false">IF(A284=A283,IF(F284&gt;0,F284,0),"")</f>
        <v>18.4099999999999</v>
      </c>
      <c r="H284" s="16" t="n">
        <f aca="false">IF(A284=A283,IF(F284&lt;0,-F284,0),"")</f>
        <v>0</v>
      </c>
    </row>
    <row r="285" customFormat="false" ht="15" hidden="false" customHeight="false" outlineLevel="0" collapsed="false">
      <c r="A285" s="14" t="s">
        <v>90</v>
      </c>
      <c r="B285" s="15" t="n">
        <v>45905</v>
      </c>
      <c r="C285" s="14" t="n">
        <v>2855.86</v>
      </c>
      <c r="D285" s="14" t="n">
        <v>1517744</v>
      </c>
      <c r="E285" s="16" t="n">
        <f aca="false">COUNTIFS($A$2:$A$1561,A285,$B$2:$B$1561,"&gt;"&amp;B285)+1</f>
        <v>237</v>
      </c>
      <c r="F285" s="16" t="n">
        <f aca="false">IF(A285=A284,C285-C284,"")</f>
        <v>12.6200000000003</v>
      </c>
      <c r="G285" s="16" t="n">
        <f aca="false">IF(A285=A284,IF(F285&gt;0,F285,0),"")</f>
        <v>12.6200000000003</v>
      </c>
      <c r="H285" s="16" t="n">
        <f aca="false">IF(A285=A284,IF(F285&lt;0,-F285,0),"")</f>
        <v>0</v>
      </c>
    </row>
    <row r="286" customFormat="false" ht="15" hidden="false" customHeight="false" outlineLevel="0" collapsed="false">
      <c r="A286" s="14" t="s">
        <v>90</v>
      </c>
      <c r="B286" s="15" t="n">
        <v>45908</v>
      </c>
      <c r="C286" s="14" t="n">
        <v>2845.76</v>
      </c>
      <c r="D286" s="14" t="n">
        <v>2169447</v>
      </c>
      <c r="E286" s="16" t="n">
        <f aca="false">COUNTIFS($A$2:$A$1561,A286,$B$2:$B$1561,"&gt;"&amp;B286)+1</f>
        <v>236</v>
      </c>
      <c r="F286" s="16" t="n">
        <f aca="false">IF(A286=A285,C286-C285,"")</f>
        <v>-10.0999999999999</v>
      </c>
      <c r="G286" s="16" t="n">
        <f aca="false">IF(A286=A285,IF(F286&gt;0,F286,0),"")</f>
        <v>0</v>
      </c>
      <c r="H286" s="16" t="n">
        <f aca="false">IF(A286=A285,IF(F286&lt;0,-F286,0),"")</f>
        <v>10.0999999999999</v>
      </c>
    </row>
    <row r="287" customFormat="false" ht="15" hidden="false" customHeight="false" outlineLevel="0" collapsed="false">
      <c r="A287" s="14" t="s">
        <v>90</v>
      </c>
      <c r="B287" s="15" t="n">
        <v>45909</v>
      </c>
      <c r="C287" s="14" t="n">
        <v>2871.9</v>
      </c>
      <c r="D287" s="14" t="n">
        <v>987461</v>
      </c>
      <c r="E287" s="16" t="n">
        <f aca="false">COUNTIFS($A$2:$A$1561,A287,$B$2:$B$1561,"&gt;"&amp;B287)+1</f>
        <v>235</v>
      </c>
      <c r="F287" s="16" t="n">
        <f aca="false">IF(A287=A286,C287-C286,"")</f>
        <v>26.1399999999999</v>
      </c>
      <c r="G287" s="16" t="n">
        <f aca="false">IF(A287=A286,IF(F287&gt;0,F287,0),"")</f>
        <v>26.1399999999999</v>
      </c>
      <c r="H287" s="16" t="n">
        <f aca="false">IF(A287=A286,IF(F287&lt;0,-F287,0),"")</f>
        <v>0</v>
      </c>
    </row>
    <row r="288" customFormat="false" ht="15" hidden="false" customHeight="false" outlineLevel="0" collapsed="false">
      <c r="A288" s="14" t="s">
        <v>90</v>
      </c>
      <c r="B288" s="15" t="n">
        <v>45910</v>
      </c>
      <c r="C288" s="14" t="n">
        <v>2876.1</v>
      </c>
      <c r="D288" s="14" t="n">
        <v>1267172</v>
      </c>
      <c r="E288" s="16" t="n">
        <f aca="false">COUNTIFS($A$2:$A$1561,A288,$B$2:$B$1561,"&gt;"&amp;B288)+1</f>
        <v>234</v>
      </c>
      <c r="F288" s="16" t="n">
        <f aca="false">IF(A288=A287,C288-C287,"")</f>
        <v>4.19999999999982</v>
      </c>
      <c r="G288" s="16" t="n">
        <f aca="false">IF(A288=A287,IF(F288&gt;0,F288,0),"")</f>
        <v>4.19999999999982</v>
      </c>
      <c r="H288" s="16" t="n">
        <f aca="false">IF(A288=A287,IF(F288&lt;0,-F288,0),"")</f>
        <v>0</v>
      </c>
    </row>
    <row r="289" customFormat="false" ht="15" hidden="false" customHeight="false" outlineLevel="0" collapsed="false">
      <c r="A289" s="14" t="s">
        <v>90</v>
      </c>
      <c r="B289" s="15" t="n">
        <v>45911</v>
      </c>
      <c r="C289" s="14" t="n">
        <v>2899.49</v>
      </c>
      <c r="D289" s="14" t="n">
        <v>1516481</v>
      </c>
      <c r="E289" s="16" t="n">
        <f aca="false">COUNTIFS($A$2:$A$1561,A289,$B$2:$B$1561,"&gt;"&amp;B289)+1</f>
        <v>233</v>
      </c>
      <c r="F289" s="16" t="n">
        <f aca="false">IF(A289=A288,C289-C288,"")</f>
        <v>23.3899999999999</v>
      </c>
      <c r="G289" s="16" t="n">
        <f aca="false">IF(A289=A288,IF(F289&gt;0,F289,0),"")</f>
        <v>23.3899999999999</v>
      </c>
      <c r="H289" s="16" t="n">
        <f aca="false">IF(A289=A288,IF(F289&lt;0,-F289,0),"")</f>
        <v>0</v>
      </c>
    </row>
    <row r="290" customFormat="false" ht="15" hidden="false" customHeight="false" outlineLevel="0" collapsed="false">
      <c r="A290" s="14" t="s">
        <v>90</v>
      </c>
      <c r="B290" s="15" t="n">
        <v>45912</v>
      </c>
      <c r="C290" s="14" t="n">
        <v>2920.85</v>
      </c>
      <c r="D290" s="14" t="n">
        <v>2228053</v>
      </c>
      <c r="E290" s="16" t="n">
        <f aca="false">COUNTIFS($A$2:$A$1561,A290,$B$2:$B$1561,"&gt;"&amp;B290)+1</f>
        <v>232</v>
      </c>
      <c r="F290" s="16" t="n">
        <f aca="false">IF(A290=A289,C290-C289,"")</f>
        <v>21.3600000000001</v>
      </c>
      <c r="G290" s="16" t="n">
        <f aca="false">IF(A290=A289,IF(F290&gt;0,F290,0),"")</f>
        <v>21.3600000000001</v>
      </c>
      <c r="H290" s="16" t="n">
        <f aca="false">IF(A290=A289,IF(F290&lt;0,-F290,0),"")</f>
        <v>0</v>
      </c>
    </row>
    <row r="291" customFormat="false" ht="15" hidden="false" customHeight="false" outlineLevel="0" collapsed="false">
      <c r="A291" s="14" t="s">
        <v>90</v>
      </c>
      <c r="B291" s="15" t="n">
        <v>45915</v>
      </c>
      <c r="C291" s="14" t="n">
        <v>2910.67</v>
      </c>
      <c r="D291" s="14" t="n">
        <v>2080012</v>
      </c>
      <c r="E291" s="16" t="n">
        <f aca="false">COUNTIFS($A$2:$A$1561,A291,$B$2:$B$1561,"&gt;"&amp;B291)+1</f>
        <v>231</v>
      </c>
      <c r="F291" s="16" t="n">
        <f aca="false">IF(A291=A290,C291-C290,"")</f>
        <v>-10.1799999999998</v>
      </c>
      <c r="G291" s="16" t="n">
        <f aca="false">IF(A291=A290,IF(F291&gt;0,F291,0),"")</f>
        <v>0</v>
      </c>
      <c r="H291" s="16" t="n">
        <f aca="false">IF(A291=A290,IF(F291&lt;0,-F291,0),"")</f>
        <v>10.1799999999998</v>
      </c>
    </row>
    <row r="292" customFormat="false" ht="15" hidden="false" customHeight="false" outlineLevel="0" collapsed="false">
      <c r="A292" s="14" t="s">
        <v>90</v>
      </c>
      <c r="B292" s="15" t="n">
        <v>45916</v>
      </c>
      <c r="C292" s="14" t="n">
        <v>2907.78</v>
      </c>
      <c r="D292" s="14" t="n">
        <v>2368496</v>
      </c>
      <c r="E292" s="16" t="n">
        <f aca="false">COUNTIFS($A$2:$A$1561,A292,$B$2:$B$1561,"&gt;"&amp;B292)+1</f>
        <v>230</v>
      </c>
      <c r="F292" s="16" t="n">
        <f aca="false">IF(A292=A291,C292-C291,"")</f>
        <v>-2.88999999999987</v>
      </c>
      <c r="G292" s="16" t="n">
        <f aca="false">IF(A292=A291,IF(F292&gt;0,F292,0),"")</f>
        <v>0</v>
      </c>
      <c r="H292" s="16" t="n">
        <f aca="false">IF(A292=A291,IF(F292&lt;0,-F292,0),"")</f>
        <v>2.88999999999987</v>
      </c>
    </row>
    <row r="293" customFormat="false" ht="15" hidden="false" customHeight="false" outlineLevel="0" collapsed="false">
      <c r="A293" s="14" t="s">
        <v>90</v>
      </c>
      <c r="B293" s="15" t="n">
        <v>45917</v>
      </c>
      <c r="C293" s="14" t="n">
        <v>2909.76</v>
      </c>
      <c r="D293" s="14" t="n">
        <v>2141098</v>
      </c>
      <c r="E293" s="16" t="n">
        <f aca="false">COUNTIFS($A$2:$A$1561,A293,$B$2:$B$1561,"&gt;"&amp;B293)+1</f>
        <v>229</v>
      </c>
      <c r="F293" s="16" t="n">
        <f aca="false">IF(A293=A292,C293-C292,"")</f>
        <v>1.98000000000002</v>
      </c>
      <c r="G293" s="16" t="n">
        <f aca="false">IF(A293=A292,IF(F293&gt;0,F293,0),"")</f>
        <v>1.98000000000002</v>
      </c>
      <c r="H293" s="16" t="n">
        <f aca="false">IF(A293=A292,IF(F293&lt;0,-F293,0),"")</f>
        <v>0</v>
      </c>
    </row>
    <row r="294" customFormat="false" ht="15" hidden="false" customHeight="false" outlineLevel="0" collapsed="false">
      <c r="A294" s="14" t="s">
        <v>90</v>
      </c>
      <c r="B294" s="15" t="n">
        <v>45918</v>
      </c>
      <c r="C294" s="14" t="n">
        <v>2899.95</v>
      </c>
      <c r="D294" s="14" t="n">
        <v>1097111</v>
      </c>
      <c r="E294" s="16" t="n">
        <f aca="false">COUNTIFS($A$2:$A$1561,A294,$B$2:$B$1561,"&gt;"&amp;B294)+1</f>
        <v>228</v>
      </c>
      <c r="F294" s="16" t="n">
        <f aca="false">IF(A294=A293,C294-C293,"")</f>
        <v>-9.8100000000004</v>
      </c>
      <c r="G294" s="16" t="n">
        <f aca="false">IF(A294=A293,IF(F294&gt;0,F294,0),"")</f>
        <v>0</v>
      </c>
      <c r="H294" s="16" t="n">
        <f aca="false">IF(A294=A293,IF(F294&lt;0,-F294,0),"")</f>
        <v>9.8100000000004</v>
      </c>
    </row>
    <row r="295" customFormat="false" ht="15" hidden="false" customHeight="false" outlineLevel="0" collapsed="false">
      <c r="A295" s="14" t="s">
        <v>90</v>
      </c>
      <c r="B295" s="15" t="n">
        <v>45919</v>
      </c>
      <c r="C295" s="14" t="n">
        <v>2906.06</v>
      </c>
      <c r="D295" s="14" t="n">
        <v>2497804</v>
      </c>
      <c r="E295" s="16" t="n">
        <f aca="false">COUNTIFS($A$2:$A$1561,A295,$B$2:$B$1561,"&gt;"&amp;B295)+1</f>
        <v>227</v>
      </c>
      <c r="F295" s="16" t="n">
        <f aca="false">IF(A295=A294,C295-C294,"")</f>
        <v>6.11000000000013</v>
      </c>
      <c r="G295" s="16" t="n">
        <f aca="false">IF(A295=A294,IF(F295&gt;0,F295,0),"")</f>
        <v>6.11000000000013</v>
      </c>
      <c r="H295" s="16" t="n">
        <f aca="false">IF(A295=A294,IF(F295&lt;0,-F295,0),"")</f>
        <v>0</v>
      </c>
    </row>
    <row r="296" customFormat="false" ht="15" hidden="false" customHeight="false" outlineLevel="0" collapsed="false">
      <c r="A296" s="14" t="s">
        <v>90</v>
      </c>
      <c r="B296" s="15" t="n">
        <v>45922</v>
      </c>
      <c r="C296" s="14" t="n">
        <v>2907.09</v>
      </c>
      <c r="D296" s="14" t="n">
        <v>797190</v>
      </c>
      <c r="E296" s="16" t="n">
        <f aca="false">COUNTIFS($A$2:$A$1561,A296,$B$2:$B$1561,"&gt;"&amp;B296)+1</f>
        <v>226</v>
      </c>
      <c r="F296" s="16" t="n">
        <f aca="false">IF(A296=A295,C296-C295,"")</f>
        <v>1.0300000000002</v>
      </c>
      <c r="G296" s="16" t="n">
        <f aca="false">IF(A296=A295,IF(F296&gt;0,F296,0),"")</f>
        <v>1.0300000000002</v>
      </c>
      <c r="H296" s="16" t="n">
        <f aca="false">IF(A296=A295,IF(F296&lt;0,-F296,0),"")</f>
        <v>0</v>
      </c>
    </row>
    <row r="297" customFormat="false" ht="15" hidden="false" customHeight="false" outlineLevel="0" collapsed="false">
      <c r="A297" s="14" t="s">
        <v>90</v>
      </c>
      <c r="B297" s="15" t="n">
        <v>45923</v>
      </c>
      <c r="C297" s="14" t="n">
        <v>2910.67</v>
      </c>
      <c r="D297" s="14" t="n">
        <v>1190247</v>
      </c>
      <c r="E297" s="16" t="n">
        <f aca="false">COUNTIFS($A$2:$A$1561,A297,$B$2:$B$1561,"&gt;"&amp;B297)+1</f>
        <v>225</v>
      </c>
      <c r="F297" s="16" t="n">
        <f aca="false">IF(A297=A296,C297-C296,"")</f>
        <v>3.57999999999993</v>
      </c>
      <c r="G297" s="16" t="n">
        <f aca="false">IF(A297=A296,IF(F297&gt;0,F297,0),"")</f>
        <v>3.57999999999993</v>
      </c>
      <c r="H297" s="16" t="n">
        <f aca="false">IF(A297=A296,IF(F297&lt;0,-F297,0),"")</f>
        <v>0</v>
      </c>
    </row>
    <row r="298" customFormat="false" ht="15" hidden="false" customHeight="false" outlineLevel="0" collapsed="false">
      <c r="A298" s="14" t="s">
        <v>90</v>
      </c>
      <c r="B298" s="15" t="n">
        <v>45924</v>
      </c>
      <c r="C298" s="14" t="n">
        <v>2914.97</v>
      </c>
      <c r="D298" s="14" t="n">
        <v>1586860</v>
      </c>
      <c r="E298" s="16" t="n">
        <f aca="false">COUNTIFS($A$2:$A$1561,A298,$B$2:$B$1561,"&gt;"&amp;B298)+1</f>
        <v>224</v>
      </c>
      <c r="F298" s="16" t="n">
        <f aca="false">IF(A298=A297,C298-C297,"")</f>
        <v>4.29999999999973</v>
      </c>
      <c r="G298" s="16" t="n">
        <f aca="false">IF(A298=A297,IF(F298&gt;0,F298,0),"")</f>
        <v>4.29999999999973</v>
      </c>
      <c r="H298" s="16" t="n">
        <f aca="false">IF(A298=A297,IF(F298&lt;0,-F298,0),"")</f>
        <v>0</v>
      </c>
    </row>
    <row r="299" customFormat="false" ht="15" hidden="false" customHeight="false" outlineLevel="0" collapsed="false">
      <c r="A299" s="14" t="s">
        <v>90</v>
      </c>
      <c r="B299" s="15" t="n">
        <v>45925</v>
      </c>
      <c r="C299" s="14" t="n">
        <v>2914.2</v>
      </c>
      <c r="D299" s="14" t="n">
        <v>1143554</v>
      </c>
      <c r="E299" s="16" t="n">
        <f aca="false">COUNTIFS($A$2:$A$1561,A299,$B$2:$B$1561,"&gt;"&amp;B299)+1</f>
        <v>223</v>
      </c>
      <c r="F299" s="16" t="n">
        <f aca="false">IF(A299=A298,C299-C298,"")</f>
        <v>-0.769999999999982</v>
      </c>
      <c r="G299" s="16" t="n">
        <f aca="false">IF(A299=A298,IF(F299&gt;0,F299,0),"")</f>
        <v>0</v>
      </c>
      <c r="H299" s="16" t="n">
        <f aca="false">IF(A299=A298,IF(F299&lt;0,-F299,0),"")</f>
        <v>0.769999999999982</v>
      </c>
    </row>
    <row r="300" customFormat="false" ht="15" hidden="false" customHeight="false" outlineLevel="0" collapsed="false">
      <c r="A300" s="14" t="s">
        <v>90</v>
      </c>
      <c r="B300" s="15" t="n">
        <v>45926</v>
      </c>
      <c r="C300" s="14" t="n">
        <v>2899.44</v>
      </c>
      <c r="D300" s="14" t="n">
        <v>1894996</v>
      </c>
      <c r="E300" s="16" t="n">
        <f aca="false">COUNTIFS($A$2:$A$1561,A300,$B$2:$B$1561,"&gt;"&amp;B300)+1</f>
        <v>222</v>
      </c>
      <c r="F300" s="16" t="n">
        <f aca="false">IF(A300=A299,C300-C299,"")</f>
        <v>-14.7599999999998</v>
      </c>
      <c r="G300" s="16" t="n">
        <f aca="false">IF(A300=A299,IF(F300&gt;0,F300,0),"")</f>
        <v>0</v>
      </c>
      <c r="H300" s="16" t="n">
        <f aca="false">IF(A300=A299,IF(F300&lt;0,-F300,0),"")</f>
        <v>14.7599999999998</v>
      </c>
    </row>
    <row r="301" customFormat="false" ht="15" hidden="false" customHeight="false" outlineLevel="0" collapsed="false">
      <c r="A301" s="14" t="s">
        <v>90</v>
      </c>
      <c r="B301" s="15" t="n">
        <v>45929</v>
      </c>
      <c r="C301" s="14" t="n">
        <v>2904.75</v>
      </c>
      <c r="D301" s="14" t="n">
        <v>967124</v>
      </c>
      <c r="E301" s="16" t="n">
        <f aca="false">COUNTIFS($A$2:$A$1561,A301,$B$2:$B$1561,"&gt;"&amp;B301)+1</f>
        <v>221</v>
      </c>
      <c r="F301" s="16" t="n">
        <f aca="false">IF(A301=A300,C301-C300,"")</f>
        <v>5.30999999999995</v>
      </c>
      <c r="G301" s="16" t="n">
        <f aca="false">IF(A301=A300,IF(F301&gt;0,F301,0),"")</f>
        <v>5.30999999999995</v>
      </c>
      <c r="H301" s="16" t="n">
        <f aca="false">IF(A301=A300,IF(F301&lt;0,-F301,0),"")</f>
        <v>0</v>
      </c>
    </row>
    <row r="302" customFormat="false" ht="15" hidden="false" customHeight="false" outlineLevel="0" collapsed="false">
      <c r="A302" s="14" t="s">
        <v>90</v>
      </c>
      <c r="B302" s="15" t="n">
        <v>45930</v>
      </c>
      <c r="C302" s="14" t="n">
        <v>2920.73</v>
      </c>
      <c r="D302" s="14" t="n">
        <v>587294</v>
      </c>
      <c r="E302" s="16" t="n">
        <f aca="false">COUNTIFS($A$2:$A$1561,A302,$B$2:$B$1561,"&gt;"&amp;B302)+1</f>
        <v>220</v>
      </c>
      <c r="F302" s="16" t="n">
        <f aca="false">IF(A302=A301,C302-C301,"")</f>
        <v>15.98</v>
      </c>
      <c r="G302" s="16" t="n">
        <f aca="false">IF(A302=A301,IF(F302&gt;0,F302,0),"")</f>
        <v>15.98</v>
      </c>
      <c r="H302" s="16" t="n">
        <f aca="false">IF(A302=A301,IF(F302&lt;0,-F302,0),"")</f>
        <v>0</v>
      </c>
    </row>
    <row r="303" customFormat="false" ht="15" hidden="false" customHeight="false" outlineLevel="0" collapsed="false">
      <c r="A303" s="14" t="s">
        <v>90</v>
      </c>
      <c r="B303" s="15" t="n">
        <v>45931</v>
      </c>
      <c r="C303" s="14" t="n">
        <v>2935.17</v>
      </c>
      <c r="D303" s="14" t="n">
        <v>1910455</v>
      </c>
      <c r="E303" s="16" t="n">
        <f aca="false">COUNTIFS($A$2:$A$1561,A303,$B$2:$B$1561,"&gt;"&amp;B303)+1</f>
        <v>219</v>
      </c>
      <c r="F303" s="16" t="n">
        <f aca="false">IF(A303=A302,C303-C302,"")</f>
        <v>14.4400000000001</v>
      </c>
      <c r="G303" s="16" t="n">
        <f aca="false">IF(A303=A302,IF(F303&gt;0,F303,0),"")</f>
        <v>14.4400000000001</v>
      </c>
      <c r="H303" s="16" t="n">
        <f aca="false">IF(A303=A302,IF(F303&lt;0,-F303,0),"")</f>
        <v>0</v>
      </c>
    </row>
    <row r="304" customFormat="false" ht="15" hidden="false" customHeight="false" outlineLevel="0" collapsed="false">
      <c r="A304" s="14" t="s">
        <v>90</v>
      </c>
      <c r="B304" s="15" t="n">
        <v>45932</v>
      </c>
      <c r="C304" s="14" t="n">
        <v>2953.21</v>
      </c>
      <c r="D304" s="14" t="n">
        <v>1272157</v>
      </c>
      <c r="E304" s="16" t="n">
        <f aca="false">COUNTIFS($A$2:$A$1561,A304,$B$2:$B$1561,"&gt;"&amp;B304)+1</f>
        <v>218</v>
      </c>
      <c r="F304" s="16" t="n">
        <f aca="false">IF(A304=A303,C304-C303,"")</f>
        <v>18.04</v>
      </c>
      <c r="G304" s="16" t="n">
        <f aca="false">IF(A304=A303,IF(F304&gt;0,F304,0),"")</f>
        <v>18.04</v>
      </c>
      <c r="H304" s="16" t="n">
        <f aca="false">IF(A304=A303,IF(F304&lt;0,-F304,0),"")</f>
        <v>0</v>
      </c>
    </row>
    <row r="305" customFormat="false" ht="15" hidden="false" customHeight="false" outlineLevel="0" collapsed="false">
      <c r="A305" s="14" t="s">
        <v>90</v>
      </c>
      <c r="B305" s="15" t="n">
        <v>45933</v>
      </c>
      <c r="C305" s="14" t="n">
        <v>2963.5</v>
      </c>
      <c r="D305" s="14" t="n">
        <v>2141495</v>
      </c>
      <c r="E305" s="16" t="n">
        <f aca="false">COUNTIFS($A$2:$A$1561,A305,$B$2:$B$1561,"&gt;"&amp;B305)+1</f>
        <v>217</v>
      </c>
      <c r="F305" s="16" t="n">
        <f aca="false">IF(A305=A304,C305-C304,"")</f>
        <v>10.29</v>
      </c>
      <c r="G305" s="16" t="n">
        <f aca="false">IF(A305=A304,IF(F305&gt;0,F305,0),"")</f>
        <v>10.29</v>
      </c>
      <c r="H305" s="16" t="n">
        <f aca="false">IF(A305=A304,IF(F305&lt;0,-F305,0),"")</f>
        <v>0</v>
      </c>
    </row>
    <row r="306" customFormat="false" ht="15" hidden="false" customHeight="false" outlineLevel="0" collapsed="false">
      <c r="A306" s="14" t="s">
        <v>90</v>
      </c>
      <c r="B306" s="15" t="n">
        <v>45936</v>
      </c>
      <c r="C306" s="14" t="n">
        <v>2990.75</v>
      </c>
      <c r="D306" s="14" t="n">
        <v>1490657</v>
      </c>
      <c r="E306" s="16" t="n">
        <f aca="false">COUNTIFS($A$2:$A$1561,A306,$B$2:$B$1561,"&gt;"&amp;B306)+1</f>
        <v>216</v>
      </c>
      <c r="F306" s="16" t="n">
        <f aca="false">IF(A306=A305,C306-C305,"")</f>
        <v>27.25</v>
      </c>
      <c r="G306" s="16" t="n">
        <f aca="false">IF(A306=A305,IF(F306&gt;0,F306,0),"")</f>
        <v>27.25</v>
      </c>
      <c r="H306" s="16" t="n">
        <f aca="false">IF(A306=A305,IF(F306&lt;0,-F306,0),"")</f>
        <v>0</v>
      </c>
    </row>
    <row r="307" customFormat="false" ht="15" hidden="false" customHeight="false" outlineLevel="0" collapsed="false">
      <c r="A307" s="14" t="s">
        <v>90</v>
      </c>
      <c r="B307" s="15" t="n">
        <v>45937</v>
      </c>
      <c r="C307" s="14" t="n">
        <v>2967.44</v>
      </c>
      <c r="D307" s="14" t="n">
        <v>1504582</v>
      </c>
      <c r="E307" s="16" t="n">
        <f aca="false">COUNTIFS($A$2:$A$1561,A307,$B$2:$B$1561,"&gt;"&amp;B307)+1</f>
        <v>215</v>
      </c>
      <c r="F307" s="16" t="n">
        <f aca="false">IF(A307=A306,C307-C306,"")</f>
        <v>-23.3099999999999</v>
      </c>
      <c r="G307" s="16" t="n">
        <f aca="false">IF(A307=A306,IF(F307&gt;0,F307,0),"")</f>
        <v>0</v>
      </c>
      <c r="H307" s="16" t="n">
        <f aca="false">IF(A307=A306,IF(F307&lt;0,-F307,0),"")</f>
        <v>23.3099999999999</v>
      </c>
    </row>
    <row r="308" customFormat="false" ht="15" hidden="false" customHeight="false" outlineLevel="0" collapsed="false">
      <c r="A308" s="14" t="s">
        <v>90</v>
      </c>
      <c r="B308" s="15" t="n">
        <v>45938</v>
      </c>
      <c r="C308" s="14" t="n">
        <v>2973.86</v>
      </c>
      <c r="D308" s="14" t="n">
        <v>2239400</v>
      </c>
      <c r="E308" s="16" t="n">
        <f aca="false">COUNTIFS($A$2:$A$1561,A308,$B$2:$B$1561,"&gt;"&amp;B308)+1</f>
        <v>214</v>
      </c>
      <c r="F308" s="16" t="n">
        <f aca="false">IF(A308=A307,C308-C307,"")</f>
        <v>6.42000000000007</v>
      </c>
      <c r="G308" s="16" t="n">
        <f aca="false">IF(A308=A307,IF(F308&gt;0,F308,0),"")</f>
        <v>6.42000000000007</v>
      </c>
      <c r="H308" s="16" t="n">
        <f aca="false">IF(A308=A307,IF(F308&lt;0,-F308,0),"")</f>
        <v>0</v>
      </c>
    </row>
    <row r="309" customFormat="false" ht="15" hidden="false" customHeight="false" outlineLevel="0" collapsed="false">
      <c r="A309" s="14" t="s">
        <v>90</v>
      </c>
      <c r="B309" s="15" t="n">
        <v>45939</v>
      </c>
      <c r="C309" s="14" t="n">
        <v>2995.5</v>
      </c>
      <c r="D309" s="14" t="n">
        <v>1380612</v>
      </c>
      <c r="E309" s="16" t="n">
        <f aca="false">COUNTIFS($A$2:$A$1561,A309,$B$2:$B$1561,"&gt;"&amp;B309)+1</f>
        <v>213</v>
      </c>
      <c r="F309" s="16" t="n">
        <f aca="false">IF(A309=A308,C309-C308,"")</f>
        <v>21.6399999999999</v>
      </c>
      <c r="G309" s="16" t="n">
        <f aca="false">IF(A309=A308,IF(F309&gt;0,F309,0),"")</f>
        <v>21.6399999999999</v>
      </c>
      <c r="H309" s="16" t="n">
        <f aca="false">IF(A309=A308,IF(F309&lt;0,-F309,0),"")</f>
        <v>0</v>
      </c>
    </row>
    <row r="310" customFormat="false" ht="15" hidden="false" customHeight="false" outlineLevel="0" collapsed="false">
      <c r="A310" s="14" t="s">
        <v>90</v>
      </c>
      <c r="B310" s="15" t="n">
        <v>45940</v>
      </c>
      <c r="C310" s="14" t="n">
        <v>2998.52</v>
      </c>
      <c r="D310" s="14" t="n">
        <v>1413856</v>
      </c>
      <c r="E310" s="16" t="n">
        <f aca="false">COUNTIFS($A$2:$A$1561,A310,$B$2:$B$1561,"&gt;"&amp;B310)+1</f>
        <v>212</v>
      </c>
      <c r="F310" s="16" t="n">
        <f aca="false">IF(A310=A309,C310-C309,"")</f>
        <v>3.01999999999998</v>
      </c>
      <c r="G310" s="16" t="n">
        <f aca="false">IF(A310=A309,IF(F310&gt;0,F310,0),"")</f>
        <v>3.01999999999998</v>
      </c>
      <c r="H310" s="16" t="n">
        <f aca="false">IF(A310=A309,IF(F310&lt;0,-F310,0),"")</f>
        <v>0</v>
      </c>
    </row>
    <row r="311" customFormat="false" ht="15" hidden="false" customHeight="false" outlineLevel="0" collapsed="false">
      <c r="A311" s="14" t="s">
        <v>90</v>
      </c>
      <c r="B311" s="15" t="n">
        <v>45943</v>
      </c>
      <c r="C311" s="14" t="n">
        <v>3012.14</v>
      </c>
      <c r="D311" s="14" t="n">
        <v>1319957</v>
      </c>
      <c r="E311" s="16" t="n">
        <f aca="false">COUNTIFS($A$2:$A$1561,A311,$B$2:$B$1561,"&gt;"&amp;B311)+1</f>
        <v>211</v>
      </c>
      <c r="F311" s="16" t="n">
        <f aca="false">IF(A311=A310,C311-C310,"")</f>
        <v>13.6199999999999</v>
      </c>
      <c r="G311" s="16" t="n">
        <f aca="false">IF(A311=A310,IF(F311&gt;0,F311,0),"")</f>
        <v>13.6199999999999</v>
      </c>
      <c r="H311" s="16" t="n">
        <f aca="false">IF(A311=A310,IF(F311&lt;0,-F311,0),"")</f>
        <v>0</v>
      </c>
    </row>
    <row r="312" customFormat="false" ht="15" hidden="false" customHeight="false" outlineLevel="0" collapsed="false">
      <c r="A312" s="14" t="s">
        <v>90</v>
      </c>
      <c r="B312" s="15" t="n">
        <v>45944</v>
      </c>
      <c r="C312" s="14" t="n">
        <v>3022.16</v>
      </c>
      <c r="D312" s="14" t="n">
        <v>808722</v>
      </c>
      <c r="E312" s="16" t="n">
        <f aca="false">COUNTIFS($A$2:$A$1561,A312,$B$2:$B$1561,"&gt;"&amp;B312)+1</f>
        <v>210</v>
      </c>
      <c r="F312" s="16" t="n">
        <f aca="false">IF(A312=A311,C312-C311,"")</f>
        <v>10.02</v>
      </c>
      <c r="G312" s="16" t="n">
        <f aca="false">IF(A312=A311,IF(F312&gt;0,F312,0),"")</f>
        <v>10.02</v>
      </c>
      <c r="H312" s="16" t="n">
        <f aca="false">IF(A312=A311,IF(F312&lt;0,-F312,0),"")</f>
        <v>0</v>
      </c>
    </row>
    <row r="313" customFormat="false" ht="15" hidden="false" customHeight="false" outlineLevel="0" collapsed="false">
      <c r="A313" s="14" t="s">
        <v>90</v>
      </c>
      <c r="B313" s="15" t="n">
        <v>45945</v>
      </c>
      <c r="C313" s="14" t="n">
        <v>3022.13</v>
      </c>
      <c r="D313" s="14" t="n">
        <v>2438407</v>
      </c>
      <c r="E313" s="16" t="n">
        <f aca="false">COUNTIFS($A$2:$A$1561,A313,$B$2:$B$1561,"&gt;"&amp;B313)+1</f>
        <v>209</v>
      </c>
      <c r="F313" s="16" t="n">
        <f aca="false">IF(A313=A312,C313-C312,"")</f>
        <v>-0.0299999999997453</v>
      </c>
      <c r="G313" s="16" t="n">
        <f aca="false">IF(A313=A312,IF(F313&gt;0,F313,0),"")</f>
        <v>0</v>
      </c>
      <c r="H313" s="16" t="n">
        <f aca="false">IF(A313=A312,IF(F313&lt;0,-F313,0),"")</f>
        <v>0.0299999999997453</v>
      </c>
    </row>
    <row r="314" customFormat="false" ht="15" hidden="false" customHeight="false" outlineLevel="0" collapsed="false">
      <c r="A314" s="14" t="s">
        <v>90</v>
      </c>
      <c r="B314" s="15" t="n">
        <v>45946</v>
      </c>
      <c r="C314" s="14" t="n">
        <v>3014.98</v>
      </c>
      <c r="D314" s="14" t="n">
        <v>1885409</v>
      </c>
      <c r="E314" s="16" t="n">
        <f aca="false">COUNTIFS($A$2:$A$1561,A314,$B$2:$B$1561,"&gt;"&amp;B314)+1</f>
        <v>208</v>
      </c>
      <c r="F314" s="16" t="n">
        <f aca="false">IF(A314=A313,C314-C313,"")</f>
        <v>-7.15000000000009</v>
      </c>
      <c r="G314" s="16" t="n">
        <f aca="false">IF(A314=A313,IF(F314&gt;0,F314,0),"")</f>
        <v>0</v>
      </c>
      <c r="H314" s="16" t="n">
        <f aca="false">IF(A314=A313,IF(F314&lt;0,-F314,0),"")</f>
        <v>7.15000000000009</v>
      </c>
    </row>
    <row r="315" customFormat="false" ht="15" hidden="false" customHeight="false" outlineLevel="0" collapsed="false">
      <c r="A315" s="14" t="s">
        <v>90</v>
      </c>
      <c r="B315" s="15" t="n">
        <v>45947</v>
      </c>
      <c r="C315" s="14" t="n">
        <v>3024.74</v>
      </c>
      <c r="D315" s="14" t="n">
        <v>2203530</v>
      </c>
      <c r="E315" s="16" t="n">
        <f aca="false">COUNTIFS($A$2:$A$1561,A315,$B$2:$B$1561,"&gt;"&amp;B315)+1</f>
        <v>207</v>
      </c>
      <c r="F315" s="16" t="n">
        <f aca="false">IF(A315=A314,C315-C314,"")</f>
        <v>9.75999999999976</v>
      </c>
      <c r="G315" s="16" t="n">
        <f aca="false">IF(A315=A314,IF(F315&gt;0,F315,0),"")</f>
        <v>9.75999999999976</v>
      </c>
      <c r="H315" s="16" t="n">
        <f aca="false">IF(A315=A314,IF(F315&lt;0,-F315,0),"")</f>
        <v>0</v>
      </c>
    </row>
    <row r="316" customFormat="false" ht="15" hidden="false" customHeight="false" outlineLevel="0" collapsed="false">
      <c r="A316" s="14" t="s">
        <v>90</v>
      </c>
      <c r="B316" s="15" t="n">
        <v>45950</v>
      </c>
      <c r="C316" s="14" t="n">
        <v>3045.56</v>
      </c>
      <c r="D316" s="14" t="n">
        <v>2218684</v>
      </c>
      <c r="E316" s="16" t="n">
        <f aca="false">COUNTIFS($A$2:$A$1561,A316,$B$2:$B$1561,"&gt;"&amp;B316)+1</f>
        <v>206</v>
      </c>
      <c r="F316" s="16" t="n">
        <f aca="false">IF(A316=A315,C316-C315,"")</f>
        <v>20.8200000000002</v>
      </c>
      <c r="G316" s="16" t="n">
        <f aca="false">IF(A316=A315,IF(F316&gt;0,F316,0),"")</f>
        <v>20.8200000000002</v>
      </c>
      <c r="H316" s="16" t="n">
        <f aca="false">IF(A316=A315,IF(F316&lt;0,-F316,0),"")</f>
        <v>0</v>
      </c>
    </row>
    <row r="317" customFormat="false" ht="15" hidden="false" customHeight="false" outlineLevel="0" collapsed="false">
      <c r="A317" s="14" t="s">
        <v>90</v>
      </c>
      <c r="B317" s="15" t="n">
        <v>45951</v>
      </c>
      <c r="C317" s="14" t="n">
        <v>3040.62</v>
      </c>
      <c r="D317" s="14" t="n">
        <v>1133322</v>
      </c>
      <c r="E317" s="16" t="n">
        <f aca="false">COUNTIFS($A$2:$A$1561,A317,$B$2:$B$1561,"&gt;"&amp;B317)+1</f>
        <v>205</v>
      </c>
      <c r="F317" s="16" t="n">
        <f aca="false">IF(A317=A316,C317-C316,"")</f>
        <v>-4.94000000000006</v>
      </c>
      <c r="G317" s="16" t="n">
        <f aca="false">IF(A317=A316,IF(F317&gt;0,F317,0),"")</f>
        <v>0</v>
      </c>
      <c r="H317" s="16" t="n">
        <f aca="false">IF(A317=A316,IF(F317&lt;0,-F317,0),"")</f>
        <v>4.94000000000006</v>
      </c>
    </row>
    <row r="318" customFormat="false" ht="15" hidden="false" customHeight="false" outlineLevel="0" collapsed="false">
      <c r="A318" s="14" t="s">
        <v>90</v>
      </c>
      <c r="B318" s="15" t="n">
        <v>45952</v>
      </c>
      <c r="C318" s="14" t="n">
        <v>3054.24</v>
      </c>
      <c r="D318" s="14" t="n">
        <v>2018803</v>
      </c>
      <c r="E318" s="16" t="n">
        <f aca="false">COUNTIFS($A$2:$A$1561,A318,$B$2:$B$1561,"&gt;"&amp;B318)+1</f>
        <v>204</v>
      </c>
      <c r="F318" s="16" t="n">
        <f aca="false">IF(A318=A317,C318-C317,"")</f>
        <v>13.6199999999999</v>
      </c>
      <c r="G318" s="16" t="n">
        <f aca="false">IF(A318=A317,IF(F318&gt;0,F318,0),"")</f>
        <v>13.6199999999999</v>
      </c>
      <c r="H318" s="16" t="n">
        <f aca="false">IF(A318=A317,IF(F318&lt;0,-F318,0),"")</f>
        <v>0</v>
      </c>
    </row>
    <row r="319" customFormat="false" ht="15" hidden="false" customHeight="false" outlineLevel="0" collapsed="false">
      <c r="A319" s="14" t="s">
        <v>90</v>
      </c>
      <c r="B319" s="15" t="n">
        <v>45953</v>
      </c>
      <c r="C319" s="14" t="n">
        <v>3076.36</v>
      </c>
      <c r="D319" s="14" t="n">
        <v>571798</v>
      </c>
      <c r="E319" s="16" t="n">
        <f aca="false">COUNTIFS($A$2:$A$1561,A319,$B$2:$B$1561,"&gt;"&amp;B319)+1</f>
        <v>203</v>
      </c>
      <c r="F319" s="16" t="n">
        <f aca="false">IF(A319=A318,C319-C318,"")</f>
        <v>22.1200000000003</v>
      </c>
      <c r="G319" s="16" t="n">
        <f aca="false">IF(A319=A318,IF(F319&gt;0,F319,0),"")</f>
        <v>22.1200000000003</v>
      </c>
      <c r="H319" s="16" t="n">
        <f aca="false">IF(A319=A318,IF(F319&lt;0,-F319,0),"")</f>
        <v>0</v>
      </c>
    </row>
    <row r="320" customFormat="false" ht="15" hidden="false" customHeight="false" outlineLevel="0" collapsed="false">
      <c r="A320" s="14" t="s">
        <v>90</v>
      </c>
      <c r="B320" s="15" t="n">
        <v>45954</v>
      </c>
      <c r="C320" s="14" t="n">
        <v>3054.12</v>
      </c>
      <c r="D320" s="14" t="n">
        <v>1762322</v>
      </c>
      <c r="E320" s="16" t="n">
        <f aca="false">COUNTIFS($A$2:$A$1561,A320,$B$2:$B$1561,"&gt;"&amp;B320)+1</f>
        <v>202</v>
      </c>
      <c r="F320" s="16" t="n">
        <f aca="false">IF(A320=A319,C320-C319,"")</f>
        <v>-22.2400000000002</v>
      </c>
      <c r="G320" s="16" t="n">
        <f aca="false">IF(A320=A319,IF(F320&gt;0,F320,0),"")</f>
        <v>0</v>
      </c>
      <c r="H320" s="16" t="n">
        <f aca="false">IF(A320=A319,IF(F320&lt;0,-F320,0),"")</f>
        <v>22.2400000000002</v>
      </c>
    </row>
    <row r="321" customFormat="false" ht="15" hidden="false" customHeight="false" outlineLevel="0" collapsed="false">
      <c r="A321" s="14" t="s">
        <v>90</v>
      </c>
      <c r="B321" s="15" t="n">
        <v>45957</v>
      </c>
      <c r="C321" s="14" t="n">
        <v>3078.91</v>
      </c>
      <c r="D321" s="14" t="n">
        <v>2494851</v>
      </c>
      <c r="E321" s="16" t="n">
        <f aca="false">COUNTIFS($A$2:$A$1561,A321,$B$2:$B$1561,"&gt;"&amp;B321)+1</f>
        <v>201</v>
      </c>
      <c r="F321" s="16" t="n">
        <f aca="false">IF(A321=A320,C321-C320,"")</f>
        <v>24.79</v>
      </c>
      <c r="G321" s="16" t="n">
        <f aca="false">IF(A321=A320,IF(F321&gt;0,F321,0),"")</f>
        <v>24.79</v>
      </c>
      <c r="H321" s="16" t="n">
        <f aca="false">IF(A321=A320,IF(F321&lt;0,-F321,0),"")</f>
        <v>0</v>
      </c>
    </row>
    <row r="322" customFormat="false" ht="15" hidden="false" customHeight="false" outlineLevel="0" collapsed="false">
      <c r="A322" s="14" t="s">
        <v>90</v>
      </c>
      <c r="B322" s="15" t="n">
        <v>45958</v>
      </c>
      <c r="C322" s="14" t="n">
        <v>3094.25</v>
      </c>
      <c r="D322" s="14" t="n">
        <v>1367942</v>
      </c>
      <c r="E322" s="16" t="n">
        <f aca="false">COUNTIFS($A$2:$A$1561,A322,$B$2:$B$1561,"&gt;"&amp;B322)+1</f>
        <v>200</v>
      </c>
      <c r="F322" s="16" t="n">
        <f aca="false">IF(A322=A321,C322-C321,"")</f>
        <v>15.3400000000001</v>
      </c>
      <c r="G322" s="16" t="n">
        <f aca="false">IF(A322=A321,IF(F322&gt;0,F322,0),"")</f>
        <v>15.3400000000001</v>
      </c>
      <c r="H322" s="16" t="n">
        <f aca="false">IF(A322=A321,IF(F322&lt;0,-F322,0),"")</f>
        <v>0</v>
      </c>
    </row>
    <row r="323" customFormat="false" ht="15" hidden="false" customHeight="false" outlineLevel="0" collapsed="false">
      <c r="A323" s="14" t="s">
        <v>90</v>
      </c>
      <c r="B323" s="15" t="n">
        <v>45959</v>
      </c>
      <c r="C323" s="14" t="n">
        <v>3073.56</v>
      </c>
      <c r="D323" s="14" t="n">
        <v>1767495</v>
      </c>
      <c r="E323" s="16" t="n">
        <f aca="false">COUNTIFS($A$2:$A$1561,A323,$B$2:$B$1561,"&gt;"&amp;B323)+1</f>
        <v>199</v>
      </c>
      <c r="F323" s="16" t="n">
        <f aca="false">IF(A323=A322,C323-C322,"")</f>
        <v>-20.6900000000001</v>
      </c>
      <c r="G323" s="16" t="n">
        <f aca="false">IF(A323=A322,IF(F323&gt;0,F323,0),"")</f>
        <v>0</v>
      </c>
      <c r="H323" s="16" t="n">
        <f aca="false">IF(A323=A322,IF(F323&lt;0,-F323,0),"")</f>
        <v>20.6900000000001</v>
      </c>
    </row>
    <row r="324" customFormat="false" ht="15" hidden="false" customHeight="false" outlineLevel="0" collapsed="false">
      <c r="A324" s="14" t="s">
        <v>90</v>
      </c>
      <c r="B324" s="15" t="n">
        <v>45960</v>
      </c>
      <c r="C324" s="14" t="n">
        <v>3095.83</v>
      </c>
      <c r="D324" s="14" t="n">
        <v>1387357</v>
      </c>
      <c r="E324" s="16" t="n">
        <f aca="false">COUNTIFS($A$2:$A$1561,A324,$B$2:$B$1561,"&gt;"&amp;B324)+1</f>
        <v>198</v>
      </c>
      <c r="F324" s="16" t="n">
        <f aca="false">IF(A324=A323,C324-C323,"")</f>
        <v>22.27</v>
      </c>
      <c r="G324" s="16" t="n">
        <f aca="false">IF(A324=A323,IF(F324&gt;0,F324,0),"")</f>
        <v>22.27</v>
      </c>
      <c r="H324" s="16" t="n">
        <f aca="false">IF(A324=A323,IF(F324&lt;0,-F324,0),"")</f>
        <v>0</v>
      </c>
    </row>
    <row r="325" customFormat="false" ht="15" hidden="false" customHeight="false" outlineLevel="0" collapsed="false">
      <c r="A325" s="14" t="s">
        <v>90</v>
      </c>
      <c r="B325" s="15" t="n">
        <v>45961</v>
      </c>
      <c r="C325" s="14" t="n">
        <v>3108.31</v>
      </c>
      <c r="D325" s="14" t="n">
        <v>2306848</v>
      </c>
      <c r="E325" s="16" t="n">
        <f aca="false">COUNTIFS($A$2:$A$1561,A325,$B$2:$B$1561,"&gt;"&amp;B325)+1</f>
        <v>197</v>
      </c>
      <c r="F325" s="16" t="n">
        <f aca="false">IF(A325=A324,C325-C324,"")</f>
        <v>12.48</v>
      </c>
      <c r="G325" s="16" t="n">
        <f aca="false">IF(A325=A324,IF(F325&gt;0,F325,0),"")</f>
        <v>12.48</v>
      </c>
      <c r="H325" s="16" t="n">
        <f aca="false">IF(A325=A324,IF(F325&lt;0,-F325,0),"")</f>
        <v>0</v>
      </c>
    </row>
    <row r="326" customFormat="false" ht="15" hidden="false" customHeight="false" outlineLevel="0" collapsed="false">
      <c r="A326" s="14" t="s">
        <v>90</v>
      </c>
      <c r="B326" s="15" t="n">
        <v>45964</v>
      </c>
      <c r="C326" s="14" t="n">
        <v>3084.59</v>
      </c>
      <c r="D326" s="14" t="n">
        <v>2092286</v>
      </c>
      <c r="E326" s="16" t="n">
        <f aca="false">COUNTIFS($A$2:$A$1561,A326,$B$2:$B$1561,"&gt;"&amp;B326)+1</f>
        <v>196</v>
      </c>
      <c r="F326" s="16" t="n">
        <f aca="false">IF(A326=A325,C326-C325,"")</f>
        <v>-23.7199999999998</v>
      </c>
      <c r="G326" s="16" t="n">
        <f aca="false">IF(A326=A325,IF(F326&gt;0,F326,0),"")</f>
        <v>0</v>
      </c>
      <c r="H326" s="16" t="n">
        <f aca="false">IF(A326=A325,IF(F326&lt;0,-F326,0),"")</f>
        <v>23.7199999999998</v>
      </c>
    </row>
    <row r="327" customFormat="false" ht="15" hidden="false" customHeight="false" outlineLevel="0" collapsed="false">
      <c r="A327" s="14" t="s">
        <v>90</v>
      </c>
      <c r="B327" s="15" t="n">
        <v>45965</v>
      </c>
      <c r="C327" s="14" t="n">
        <v>3074.78</v>
      </c>
      <c r="D327" s="14" t="n">
        <v>1249682</v>
      </c>
      <c r="E327" s="16" t="n">
        <f aca="false">COUNTIFS($A$2:$A$1561,A327,$B$2:$B$1561,"&gt;"&amp;B327)+1</f>
        <v>195</v>
      </c>
      <c r="F327" s="16" t="n">
        <f aca="false">IF(A327=A326,C327-C326,"")</f>
        <v>-9.80999999999995</v>
      </c>
      <c r="G327" s="16" t="n">
        <f aca="false">IF(A327=A326,IF(F327&gt;0,F327,0),"")</f>
        <v>0</v>
      </c>
      <c r="H327" s="16" t="n">
        <f aca="false">IF(A327=A326,IF(F327&lt;0,-F327,0),"")</f>
        <v>9.80999999999995</v>
      </c>
    </row>
    <row r="328" customFormat="false" ht="15" hidden="false" customHeight="false" outlineLevel="0" collapsed="false">
      <c r="A328" s="14" t="s">
        <v>90</v>
      </c>
      <c r="B328" s="15" t="n">
        <v>45966</v>
      </c>
      <c r="C328" s="14" t="n">
        <v>3056.82</v>
      </c>
      <c r="D328" s="14" t="n">
        <v>1562332</v>
      </c>
      <c r="E328" s="16" t="n">
        <f aca="false">COUNTIFS($A$2:$A$1561,A328,$B$2:$B$1561,"&gt;"&amp;B328)+1</f>
        <v>194</v>
      </c>
      <c r="F328" s="16" t="n">
        <f aca="false">IF(A328=A327,C328-C327,"")</f>
        <v>-17.96</v>
      </c>
      <c r="G328" s="16" t="n">
        <f aca="false">IF(A328=A327,IF(F328&gt;0,F328,0),"")</f>
        <v>0</v>
      </c>
      <c r="H328" s="16" t="n">
        <f aca="false">IF(A328=A327,IF(F328&lt;0,-F328,0),"")</f>
        <v>17.96</v>
      </c>
    </row>
    <row r="329" customFormat="false" ht="15" hidden="false" customHeight="false" outlineLevel="0" collapsed="false">
      <c r="A329" s="14" t="s">
        <v>90</v>
      </c>
      <c r="B329" s="15" t="n">
        <v>45967</v>
      </c>
      <c r="C329" s="14" t="n">
        <v>3062.1</v>
      </c>
      <c r="D329" s="14" t="n">
        <v>2085038</v>
      </c>
      <c r="E329" s="16" t="n">
        <f aca="false">COUNTIFS($A$2:$A$1561,A329,$B$2:$B$1561,"&gt;"&amp;B329)+1</f>
        <v>193</v>
      </c>
      <c r="F329" s="16" t="n">
        <f aca="false">IF(A329=A328,C329-C328,"")</f>
        <v>5.27999999999975</v>
      </c>
      <c r="G329" s="16" t="n">
        <f aca="false">IF(A329=A328,IF(F329&gt;0,F329,0),"")</f>
        <v>5.27999999999975</v>
      </c>
      <c r="H329" s="16" t="n">
        <f aca="false">IF(A329=A328,IF(F329&lt;0,-F329,0),"")</f>
        <v>0</v>
      </c>
    </row>
    <row r="330" customFormat="false" ht="15" hidden="false" customHeight="false" outlineLevel="0" collapsed="false">
      <c r="A330" s="14" t="s">
        <v>90</v>
      </c>
      <c r="B330" s="15" t="n">
        <v>45968</v>
      </c>
      <c r="C330" s="14" t="n">
        <v>3045.57</v>
      </c>
      <c r="D330" s="14" t="n">
        <v>657936</v>
      </c>
      <c r="E330" s="16" t="n">
        <f aca="false">COUNTIFS($A$2:$A$1561,A330,$B$2:$B$1561,"&gt;"&amp;B330)+1</f>
        <v>192</v>
      </c>
      <c r="F330" s="16" t="n">
        <f aca="false">IF(A330=A329,C330-C329,"")</f>
        <v>-16.5299999999997</v>
      </c>
      <c r="G330" s="16" t="n">
        <f aca="false">IF(A330=A329,IF(F330&gt;0,F330,0),"")</f>
        <v>0</v>
      </c>
      <c r="H330" s="16" t="n">
        <f aca="false">IF(A330=A329,IF(F330&lt;0,-F330,0),"")</f>
        <v>16.5299999999997</v>
      </c>
    </row>
    <row r="331" customFormat="false" ht="15" hidden="false" customHeight="false" outlineLevel="0" collapsed="false">
      <c r="A331" s="14" t="s">
        <v>90</v>
      </c>
      <c r="B331" s="15" t="n">
        <v>45971</v>
      </c>
      <c r="C331" s="14" t="n">
        <v>3067.54</v>
      </c>
      <c r="D331" s="14" t="n">
        <v>1739420</v>
      </c>
      <c r="E331" s="16" t="n">
        <f aca="false">COUNTIFS($A$2:$A$1561,A331,$B$2:$B$1561,"&gt;"&amp;B331)+1</f>
        <v>191</v>
      </c>
      <c r="F331" s="16" t="n">
        <f aca="false">IF(A331=A330,C331-C330,"")</f>
        <v>21.9699999999998</v>
      </c>
      <c r="G331" s="16" t="n">
        <f aca="false">IF(A331=A330,IF(F331&gt;0,F331,0),"")</f>
        <v>21.9699999999998</v>
      </c>
      <c r="H331" s="16" t="n">
        <f aca="false">IF(A331=A330,IF(F331&lt;0,-F331,0),"")</f>
        <v>0</v>
      </c>
    </row>
    <row r="332" customFormat="false" ht="15" hidden="false" customHeight="false" outlineLevel="0" collapsed="false">
      <c r="A332" s="14" t="s">
        <v>90</v>
      </c>
      <c r="B332" s="15" t="n">
        <v>45972</v>
      </c>
      <c r="C332" s="14" t="n">
        <v>3054.89</v>
      </c>
      <c r="D332" s="14" t="n">
        <v>2325658</v>
      </c>
      <c r="E332" s="16" t="n">
        <f aca="false">COUNTIFS($A$2:$A$1561,A332,$B$2:$B$1561,"&gt;"&amp;B332)+1</f>
        <v>190</v>
      </c>
      <c r="F332" s="16" t="n">
        <f aca="false">IF(A332=A331,C332-C331,"")</f>
        <v>-12.6500000000001</v>
      </c>
      <c r="G332" s="16" t="n">
        <f aca="false">IF(A332=A331,IF(F332&gt;0,F332,0),"")</f>
        <v>0</v>
      </c>
      <c r="H332" s="16" t="n">
        <f aca="false">IF(A332=A331,IF(F332&lt;0,-F332,0),"")</f>
        <v>12.6500000000001</v>
      </c>
    </row>
    <row r="333" customFormat="false" ht="15" hidden="false" customHeight="false" outlineLevel="0" collapsed="false">
      <c r="A333" s="14" t="s">
        <v>90</v>
      </c>
      <c r="B333" s="15" t="n">
        <v>45973</v>
      </c>
      <c r="C333" s="14" t="n">
        <v>3036.91</v>
      </c>
      <c r="D333" s="14" t="n">
        <v>1422299</v>
      </c>
      <c r="E333" s="16" t="n">
        <f aca="false">COUNTIFS($A$2:$A$1561,A333,$B$2:$B$1561,"&gt;"&amp;B333)+1</f>
        <v>189</v>
      </c>
      <c r="F333" s="16" t="n">
        <f aca="false">IF(A333=A332,C333-C332,"")</f>
        <v>-17.98</v>
      </c>
      <c r="G333" s="16" t="n">
        <f aca="false">IF(A333=A332,IF(F333&gt;0,F333,0),"")</f>
        <v>0</v>
      </c>
      <c r="H333" s="16" t="n">
        <f aca="false">IF(A333=A332,IF(F333&lt;0,-F333,0),"")</f>
        <v>17.98</v>
      </c>
    </row>
    <row r="334" customFormat="false" ht="15" hidden="false" customHeight="false" outlineLevel="0" collapsed="false">
      <c r="A334" s="14" t="s">
        <v>90</v>
      </c>
      <c r="B334" s="15" t="n">
        <v>45974</v>
      </c>
      <c r="C334" s="14" t="n">
        <v>3025.1</v>
      </c>
      <c r="D334" s="14" t="n">
        <v>1010653</v>
      </c>
      <c r="E334" s="16" t="n">
        <f aca="false">COUNTIFS($A$2:$A$1561,A334,$B$2:$B$1561,"&gt;"&amp;B334)+1</f>
        <v>188</v>
      </c>
      <c r="F334" s="16" t="n">
        <f aca="false">IF(A334=A333,C334-C333,"")</f>
        <v>-11.8099999999999</v>
      </c>
      <c r="G334" s="16" t="n">
        <f aca="false">IF(A334=A333,IF(F334&gt;0,F334,0),"")</f>
        <v>0</v>
      </c>
      <c r="H334" s="16" t="n">
        <f aca="false">IF(A334=A333,IF(F334&lt;0,-F334,0),"")</f>
        <v>11.8099999999999</v>
      </c>
    </row>
    <row r="335" customFormat="false" ht="15" hidden="false" customHeight="false" outlineLevel="0" collapsed="false">
      <c r="A335" s="14" t="s">
        <v>90</v>
      </c>
      <c r="B335" s="15" t="n">
        <v>45975</v>
      </c>
      <c r="C335" s="14" t="n">
        <v>3000.02</v>
      </c>
      <c r="D335" s="14" t="n">
        <v>2109266</v>
      </c>
      <c r="E335" s="16" t="n">
        <f aca="false">COUNTIFS($A$2:$A$1561,A335,$B$2:$B$1561,"&gt;"&amp;B335)+1</f>
        <v>187</v>
      </c>
      <c r="F335" s="16" t="n">
        <f aca="false">IF(A335=A334,C335-C334,"")</f>
        <v>-25.0799999999999</v>
      </c>
      <c r="G335" s="16" t="n">
        <f aca="false">IF(A335=A334,IF(F335&gt;0,F335,0),"")</f>
        <v>0</v>
      </c>
      <c r="H335" s="16" t="n">
        <f aca="false">IF(A335=A334,IF(F335&lt;0,-F335,0),"")</f>
        <v>25.0799999999999</v>
      </c>
    </row>
    <row r="336" customFormat="false" ht="15" hidden="false" customHeight="false" outlineLevel="0" collapsed="false">
      <c r="A336" s="14" t="s">
        <v>90</v>
      </c>
      <c r="B336" s="15" t="n">
        <v>45978</v>
      </c>
      <c r="C336" s="14" t="n">
        <v>3023.31</v>
      </c>
      <c r="D336" s="14" t="n">
        <v>1855221</v>
      </c>
      <c r="E336" s="16" t="n">
        <f aca="false">COUNTIFS($A$2:$A$1561,A336,$B$2:$B$1561,"&gt;"&amp;B336)+1</f>
        <v>186</v>
      </c>
      <c r="F336" s="16" t="n">
        <f aca="false">IF(A336=A335,C336-C335,"")</f>
        <v>23.29</v>
      </c>
      <c r="G336" s="16" t="n">
        <f aca="false">IF(A336=A335,IF(F336&gt;0,F336,0),"")</f>
        <v>23.29</v>
      </c>
      <c r="H336" s="16" t="n">
        <f aca="false">IF(A336=A335,IF(F336&lt;0,-F336,0),"")</f>
        <v>0</v>
      </c>
    </row>
    <row r="337" customFormat="false" ht="15" hidden="false" customHeight="false" outlineLevel="0" collapsed="false">
      <c r="A337" s="14" t="s">
        <v>90</v>
      </c>
      <c r="B337" s="15" t="n">
        <v>45979</v>
      </c>
      <c r="C337" s="14" t="n">
        <v>3006.33</v>
      </c>
      <c r="D337" s="14" t="n">
        <v>1383459</v>
      </c>
      <c r="E337" s="16" t="n">
        <f aca="false">COUNTIFS($A$2:$A$1561,A337,$B$2:$B$1561,"&gt;"&amp;B337)+1</f>
        <v>185</v>
      </c>
      <c r="F337" s="16" t="n">
        <f aca="false">IF(A337=A336,C337-C336,"")</f>
        <v>-16.98</v>
      </c>
      <c r="G337" s="16" t="n">
        <f aca="false">IF(A337=A336,IF(F337&gt;0,F337,0),"")</f>
        <v>0</v>
      </c>
      <c r="H337" s="16" t="n">
        <f aca="false">IF(A337=A336,IF(F337&lt;0,-F337,0),"")</f>
        <v>16.98</v>
      </c>
    </row>
    <row r="338" customFormat="false" ht="15" hidden="false" customHeight="false" outlineLevel="0" collapsed="false">
      <c r="A338" s="14" t="s">
        <v>90</v>
      </c>
      <c r="B338" s="15" t="n">
        <v>45980</v>
      </c>
      <c r="C338" s="14" t="n">
        <v>2999.59</v>
      </c>
      <c r="D338" s="14" t="n">
        <v>1675143</v>
      </c>
      <c r="E338" s="16" t="n">
        <f aca="false">COUNTIFS($A$2:$A$1561,A338,$B$2:$B$1561,"&gt;"&amp;B338)+1</f>
        <v>184</v>
      </c>
      <c r="F338" s="16" t="n">
        <f aca="false">IF(A338=A337,C338-C337,"")</f>
        <v>-6.73999999999978</v>
      </c>
      <c r="G338" s="16" t="n">
        <f aca="false">IF(A338=A337,IF(F338&gt;0,F338,0),"")</f>
        <v>0</v>
      </c>
      <c r="H338" s="16" t="n">
        <f aca="false">IF(A338=A337,IF(F338&lt;0,-F338,0),"")</f>
        <v>6.73999999999978</v>
      </c>
    </row>
    <row r="339" customFormat="false" ht="15" hidden="false" customHeight="false" outlineLevel="0" collapsed="false">
      <c r="A339" s="14" t="s">
        <v>90</v>
      </c>
      <c r="B339" s="15" t="n">
        <v>45981</v>
      </c>
      <c r="C339" s="14" t="n">
        <v>3008.72</v>
      </c>
      <c r="D339" s="14" t="n">
        <v>1348617</v>
      </c>
      <c r="E339" s="16" t="n">
        <f aca="false">COUNTIFS($A$2:$A$1561,A339,$B$2:$B$1561,"&gt;"&amp;B339)+1</f>
        <v>183</v>
      </c>
      <c r="F339" s="16" t="n">
        <f aca="false">IF(A339=A338,C339-C338,"")</f>
        <v>9.12999999999965</v>
      </c>
      <c r="G339" s="16" t="n">
        <f aca="false">IF(A339=A338,IF(F339&gt;0,F339,0),"")</f>
        <v>9.12999999999965</v>
      </c>
      <c r="H339" s="16" t="n">
        <f aca="false">IF(A339=A338,IF(F339&lt;0,-F339,0),"")</f>
        <v>0</v>
      </c>
    </row>
    <row r="340" customFormat="false" ht="15" hidden="false" customHeight="false" outlineLevel="0" collapsed="false">
      <c r="A340" s="14" t="s">
        <v>90</v>
      </c>
      <c r="B340" s="15" t="n">
        <v>45982</v>
      </c>
      <c r="C340" s="14" t="n">
        <v>2996.81</v>
      </c>
      <c r="D340" s="14" t="n">
        <v>2190607</v>
      </c>
      <c r="E340" s="16" t="n">
        <f aca="false">COUNTIFS($A$2:$A$1561,A340,$B$2:$B$1561,"&gt;"&amp;B340)+1</f>
        <v>182</v>
      </c>
      <c r="F340" s="16" t="n">
        <f aca="false">IF(A340=A339,C340-C339,"")</f>
        <v>-11.9099999999999</v>
      </c>
      <c r="G340" s="16" t="n">
        <f aca="false">IF(A340=A339,IF(F340&gt;0,F340,0),"")</f>
        <v>0</v>
      </c>
      <c r="H340" s="16" t="n">
        <f aca="false">IF(A340=A339,IF(F340&lt;0,-F340,0),"")</f>
        <v>11.9099999999999</v>
      </c>
    </row>
    <row r="341" customFormat="false" ht="15" hidden="false" customHeight="false" outlineLevel="0" collapsed="false">
      <c r="A341" s="14" t="s">
        <v>90</v>
      </c>
      <c r="B341" s="15" t="n">
        <v>45985</v>
      </c>
      <c r="C341" s="14" t="n">
        <v>2982.2</v>
      </c>
      <c r="D341" s="14" t="n">
        <v>1269386</v>
      </c>
      <c r="E341" s="16" t="n">
        <f aca="false">COUNTIFS($A$2:$A$1561,A341,$B$2:$B$1561,"&gt;"&amp;B341)+1</f>
        <v>181</v>
      </c>
      <c r="F341" s="16" t="n">
        <f aca="false">IF(A341=A340,C341-C340,"")</f>
        <v>-14.6100000000001</v>
      </c>
      <c r="G341" s="16" t="n">
        <f aca="false">IF(A341=A340,IF(F341&gt;0,F341,0),"")</f>
        <v>0</v>
      </c>
      <c r="H341" s="16" t="n">
        <f aca="false">IF(A341=A340,IF(F341&lt;0,-F341,0),"")</f>
        <v>14.6100000000001</v>
      </c>
    </row>
    <row r="342" customFormat="false" ht="15" hidden="false" customHeight="false" outlineLevel="0" collapsed="false">
      <c r="A342" s="14" t="s">
        <v>90</v>
      </c>
      <c r="B342" s="15" t="n">
        <v>45986</v>
      </c>
      <c r="C342" s="14" t="n">
        <v>2982.91</v>
      </c>
      <c r="D342" s="14" t="n">
        <v>974411</v>
      </c>
      <c r="E342" s="16" t="n">
        <f aca="false">COUNTIFS($A$2:$A$1561,A342,$B$2:$B$1561,"&gt;"&amp;B342)+1</f>
        <v>180</v>
      </c>
      <c r="F342" s="16" t="n">
        <f aca="false">IF(A342=A341,C342-C341,"")</f>
        <v>0.710000000000036</v>
      </c>
      <c r="G342" s="16" t="n">
        <f aca="false">IF(A342=A341,IF(F342&gt;0,F342,0),"")</f>
        <v>0.710000000000036</v>
      </c>
      <c r="H342" s="16" t="n">
        <f aca="false">IF(A342=A341,IF(F342&lt;0,-F342,0),"")</f>
        <v>0</v>
      </c>
    </row>
    <row r="343" customFormat="false" ht="15" hidden="false" customHeight="false" outlineLevel="0" collapsed="false">
      <c r="A343" s="14" t="s">
        <v>90</v>
      </c>
      <c r="B343" s="15" t="n">
        <v>45987</v>
      </c>
      <c r="C343" s="14" t="n">
        <v>2988.38</v>
      </c>
      <c r="D343" s="14" t="n">
        <v>1649623</v>
      </c>
      <c r="E343" s="16" t="n">
        <f aca="false">COUNTIFS($A$2:$A$1561,A343,$B$2:$B$1561,"&gt;"&amp;B343)+1</f>
        <v>179</v>
      </c>
      <c r="F343" s="16" t="n">
        <f aca="false">IF(A343=A342,C343-C342,"")</f>
        <v>5.47000000000026</v>
      </c>
      <c r="G343" s="16" t="n">
        <f aca="false">IF(A343=A342,IF(F343&gt;0,F343,0),"")</f>
        <v>5.47000000000026</v>
      </c>
      <c r="H343" s="16" t="n">
        <f aca="false">IF(A343=A342,IF(F343&lt;0,-F343,0),"")</f>
        <v>0</v>
      </c>
    </row>
    <row r="344" customFormat="false" ht="15" hidden="false" customHeight="false" outlineLevel="0" collapsed="false">
      <c r="A344" s="14" t="s">
        <v>90</v>
      </c>
      <c r="B344" s="15" t="n">
        <v>45988</v>
      </c>
      <c r="C344" s="14" t="n">
        <v>3016.5</v>
      </c>
      <c r="D344" s="14" t="n">
        <v>1090461</v>
      </c>
      <c r="E344" s="16" t="n">
        <f aca="false">COUNTIFS($A$2:$A$1561,A344,$B$2:$B$1561,"&gt;"&amp;B344)+1</f>
        <v>178</v>
      </c>
      <c r="F344" s="16" t="n">
        <f aca="false">IF(A344=A343,C344-C343,"")</f>
        <v>28.1199999999999</v>
      </c>
      <c r="G344" s="16" t="n">
        <f aca="false">IF(A344=A343,IF(F344&gt;0,F344,0),"")</f>
        <v>28.1199999999999</v>
      </c>
      <c r="H344" s="16" t="n">
        <f aca="false">IF(A344=A343,IF(F344&lt;0,-F344,0),"")</f>
        <v>0</v>
      </c>
    </row>
    <row r="345" customFormat="false" ht="15" hidden="false" customHeight="false" outlineLevel="0" collapsed="false">
      <c r="A345" s="14" t="s">
        <v>90</v>
      </c>
      <c r="B345" s="15" t="n">
        <v>45989</v>
      </c>
      <c r="C345" s="14" t="n">
        <v>3044.08</v>
      </c>
      <c r="D345" s="14" t="n">
        <v>1816459</v>
      </c>
      <c r="E345" s="16" t="n">
        <f aca="false">COUNTIFS($A$2:$A$1561,A345,$B$2:$B$1561,"&gt;"&amp;B345)+1</f>
        <v>177</v>
      </c>
      <c r="F345" s="16" t="n">
        <f aca="false">IF(A345=A344,C345-C344,"")</f>
        <v>27.5799999999999</v>
      </c>
      <c r="G345" s="16" t="n">
        <f aca="false">IF(A345=A344,IF(F345&gt;0,F345,0),"")</f>
        <v>27.5799999999999</v>
      </c>
      <c r="H345" s="16" t="n">
        <f aca="false">IF(A345=A344,IF(F345&lt;0,-F345,0),"")</f>
        <v>0</v>
      </c>
    </row>
    <row r="346" customFormat="false" ht="15" hidden="false" customHeight="false" outlineLevel="0" collapsed="false">
      <c r="A346" s="14" t="s">
        <v>90</v>
      </c>
      <c r="B346" s="15" t="n">
        <v>45992</v>
      </c>
      <c r="C346" s="14" t="n">
        <v>3033.36</v>
      </c>
      <c r="D346" s="14" t="n">
        <v>1631858</v>
      </c>
      <c r="E346" s="16" t="n">
        <f aca="false">COUNTIFS($A$2:$A$1561,A346,$B$2:$B$1561,"&gt;"&amp;B346)+1</f>
        <v>176</v>
      </c>
      <c r="F346" s="16" t="n">
        <f aca="false">IF(A346=A345,C346-C345,"")</f>
        <v>-10.7199999999998</v>
      </c>
      <c r="G346" s="16" t="n">
        <f aca="false">IF(A346=A345,IF(F346&gt;0,F346,0),"")</f>
        <v>0</v>
      </c>
      <c r="H346" s="16" t="n">
        <f aca="false">IF(A346=A345,IF(F346&lt;0,-F346,0),"")</f>
        <v>10.7199999999998</v>
      </c>
    </row>
    <row r="347" customFormat="false" ht="15" hidden="false" customHeight="false" outlineLevel="0" collapsed="false">
      <c r="A347" s="14" t="s">
        <v>90</v>
      </c>
      <c r="B347" s="15" t="n">
        <v>45993</v>
      </c>
      <c r="C347" s="14" t="n">
        <v>3045.15</v>
      </c>
      <c r="D347" s="14" t="n">
        <v>1989337</v>
      </c>
      <c r="E347" s="16" t="n">
        <f aca="false">COUNTIFS($A$2:$A$1561,A347,$B$2:$B$1561,"&gt;"&amp;B347)+1</f>
        <v>175</v>
      </c>
      <c r="F347" s="16" t="n">
        <f aca="false">IF(A347=A346,C347-C346,"")</f>
        <v>11.79</v>
      </c>
      <c r="G347" s="16" t="n">
        <f aca="false">IF(A347=A346,IF(F347&gt;0,F347,0),"")</f>
        <v>11.79</v>
      </c>
      <c r="H347" s="16" t="n">
        <f aca="false">IF(A347=A346,IF(F347&lt;0,-F347,0),"")</f>
        <v>0</v>
      </c>
    </row>
    <row r="348" customFormat="false" ht="15" hidden="false" customHeight="false" outlineLevel="0" collapsed="false">
      <c r="A348" s="14" t="s">
        <v>90</v>
      </c>
      <c r="B348" s="15" t="n">
        <v>45994</v>
      </c>
      <c r="C348" s="14" t="n">
        <v>3022.07</v>
      </c>
      <c r="D348" s="14" t="n">
        <v>1712812</v>
      </c>
      <c r="E348" s="16" t="n">
        <f aca="false">COUNTIFS($A$2:$A$1561,A348,$B$2:$B$1561,"&gt;"&amp;B348)+1</f>
        <v>174</v>
      </c>
      <c r="F348" s="16" t="n">
        <f aca="false">IF(A348=A347,C348-C347,"")</f>
        <v>-23.0799999999999</v>
      </c>
      <c r="G348" s="16" t="n">
        <f aca="false">IF(A348=A347,IF(F348&gt;0,F348,0),"")</f>
        <v>0</v>
      </c>
      <c r="H348" s="16" t="n">
        <f aca="false">IF(A348=A347,IF(F348&lt;0,-F348,0),"")</f>
        <v>23.0799999999999</v>
      </c>
    </row>
    <row r="349" customFormat="false" ht="15" hidden="false" customHeight="false" outlineLevel="0" collapsed="false">
      <c r="A349" s="14" t="s">
        <v>90</v>
      </c>
      <c r="B349" s="15" t="n">
        <v>45995</v>
      </c>
      <c r="C349" s="14" t="n">
        <v>3023.53</v>
      </c>
      <c r="D349" s="14" t="n">
        <v>2308310</v>
      </c>
      <c r="E349" s="16" t="n">
        <f aca="false">COUNTIFS($A$2:$A$1561,A349,$B$2:$B$1561,"&gt;"&amp;B349)+1</f>
        <v>173</v>
      </c>
      <c r="F349" s="16" t="n">
        <f aca="false">IF(A349=A348,C349-C348,"")</f>
        <v>1.46000000000004</v>
      </c>
      <c r="G349" s="16" t="n">
        <f aca="false">IF(A349=A348,IF(F349&gt;0,F349,0),"")</f>
        <v>1.46000000000004</v>
      </c>
      <c r="H349" s="16" t="n">
        <f aca="false">IF(A349=A348,IF(F349&lt;0,-F349,0),"")</f>
        <v>0</v>
      </c>
    </row>
    <row r="350" customFormat="false" ht="15" hidden="false" customHeight="false" outlineLevel="0" collapsed="false">
      <c r="A350" s="14" t="s">
        <v>90</v>
      </c>
      <c r="B350" s="15" t="n">
        <v>45996</v>
      </c>
      <c r="C350" s="14" t="n">
        <v>3013.52</v>
      </c>
      <c r="D350" s="14" t="n">
        <v>2097720</v>
      </c>
      <c r="E350" s="16" t="n">
        <f aca="false">COUNTIFS($A$2:$A$1561,A350,$B$2:$B$1561,"&gt;"&amp;B350)+1</f>
        <v>172</v>
      </c>
      <c r="F350" s="16" t="n">
        <f aca="false">IF(A350=A349,C350-C349,"")</f>
        <v>-10.0100000000002</v>
      </c>
      <c r="G350" s="16" t="n">
        <f aca="false">IF(A350=A349,IF(F350&gt;0,F350,0),"")</f>
        <v>0</v>
      </c>
      <c r="H350" s="16" t="n">
        <f aca="false">IF(A350=A349,IF(F350&lt;0,-F350,0),"")</f>
        <v>10.0100000000002</v>
      </c>
    </row>
    <row r="351" customFormat="false" ht="15" hidden="false" customHeight="false" outlineLevel="0" collapsed="false">
      <c r="A351" s="14" t="s">
        <v>90</v>
      </c>
      <c r="B351" s="15" t="n">
        <v>45999</v>
      </c>
      <c r="C351" s="14" t="n">
        <v>3020.96</v>
      </c>
      <c r="D351" s="14" t="n">
        <v>1204641</v>
      </c>
      <c r="E351" s="16" t="n">
        <f aca="false">COUNTIFS($A$2:$A$1561,A351,$B$2:$B$1561,"&gt;"&amp;B351)+1</f>
        <v>171</v>
      </c>
      <c r="F351" s="16" t="n">
        <f aca="false">IF(A351=A350,C351-C350,"")</f>
        <v>7.44000000000006</v>
      </c>
      <c r="G351" s="16" t="n">
        <f aca="false">IF(A351=A350,IF(F351&gt;0,F351,0),"")</f>
        <v>7.44000000000006</v>
      </c>
      <c r="H351" s="16" t="n">
        <f aca="false">IF(A351=A350,IF(F351&lt;0,-F351,0),"")</f>
        <v>0</v>
      </c>
    </row>
    <row r="352" customFormat="false" ht="15" hidden="false" customHeight="false" outlineLevel="0" collapsed="false">
      <c r="A352" s="14" t="s">
        <v>90</v>
      </c>
      <c r="B352" s="15" t="n">
        <v>46000</v>
      </c>
      <c r="C352" s="14" t="n">
        <v>3030.02</v>
      </c>
      <c r="D352" s="14" t="n">
        <v>1741782</v>
      </c>
      <c r="E352" s="16" t="n">
        <f aca="false">COUNTIFS($A$2:$A$1561,A352,$B$2:$B$1561,"&gt;"&amp;B352)+1</f>
        <v>170</v>
      </c>
      <c r="F352" s="16" t="n">
        <f aca="false">IF(A352=A351,C352-C351,"")</f>
        <v>9.05999999999995</v>
      </c>
      <c r="G352" s="16" t="n">
        <f aca="false">IF(A352=A351,IF(F352&gt;0,F352,0),"")</f>
        <v>9.05999999999995</v>
      </c>
      <c r="H352" s="16" t="n">
        <f aca="false">IF(A352=A351,IF(F352&lt;0,-F352,0),"")</f>
        <v>0</v>
      </c>
    </row>
    <row r="353" customFormat="false" ht="15" hidden="false" customHeight="false" outlineLevel="0" collapsed="false">
      <c r="A353" s="14" t="s">
        <v>90</v>
      </c>
      <c r="B353" s="15" t="n">
        <v>46001</v>
      </c>
      <c r="C353" s="14" t="n">
        <v>3041.35</v>
      </c>
      <c r="D353" s="14" t="n">
        <v>1941856</v>
      </c>
      <c r="E353" s="16" t="n">
        <f aca="false">COUNTIFS($A$2:$A$1561,A353,$B$2:$B$1561,"&gt;"&amp;B353)+1</f>
        <v>169</v>
      </c>
      <c r="F353" s="16" t="n">
        <f aca="false">IF(A353=A352,C353-C352,"")</f>
        <v>11.3299999999999</v>
      </c>
      <c r="G353" s="16" t="n">
        <f aca="false">IF(A353=A352,IF(F353&gt;0,F353,0),"")</f>
        <v>11.3299999999999</v>
      </c>
      <c r="H353" s="16" t="n">
        <f aca="false">IF(A353=A352,IF(F353&lt;0,-F353,0),"")</f>
        <v>0</v>
      </c>
    </row>
    <row r="354" customFormat="false" ht="15" hidden="false" customHeight="false" outlineLevel="0" collapsed="false">
      <c r="A354" s="14" t="s">
        <v>90</v>
      </c>
      <c r="B354" s="15" t="n">
        <v>46002</v>
      </c>
      <c r="C354" s="14" t="n">
        <v>3051.71</v>
      </c>
      <c r="D354" s="14" t="n">
        <v>2176674</v>
      </c>
      <c r="E354" s="16" t="n">
        <f aca="false">COUNTIFS($A$2:$A$1561,A354,$B$2:$B$1561,"&gt;"&amp;B354)+1</f>
        <v>168</v>
      </c>
      <c r="F354" s="16" t="n">
        <f aca="false">IF(A354=A353,C354-C353,"")</f>
        <v>10.3600000000001</v>
      </c>
      <c r="G354" s="16" t="n">
        <f aca="false">IF(A354=A353,IF(F354&gt;0,F354,0),"")</f>
        <v>10.3600000000001</v>
      </c>
      <c r="H354" s="16" t="n">
        <f aca="false">IF(A354=A353,IF(F354&lt;0,-F354,0),"")</f>
        <v>0</v>
      </c>
    </row>
    <row r="355" customFormat="false" ht="15" hidden="false" customHeight="false" outlineLevel="0" collapsed="false">
      <c r="A355" s="14" t="s">
        <v>90</v>
      </c>
      <c r="B355" s="15" t="n">
        <v>46003</v>
      </c>
      <c r="C355" s="14" t="n">
        <v>3060.4</v>
      </c>
      <c r="D355" s="14" t="n">
        <v>2306807</v>
      </c>
      <c r="E355" s="16" t="n">
        <f aca="false">COUNTIFS($A$2:$A$1561,A355,$B$2:$B$1561,"&gt;"&amp;B355)+1</f>
        <v>167</v>
      </c>
      <c r="F355" s="16" t="n">
        <f aca="false">IF(A355=A354,C355-C354,"")</f>
        <v>8.69000000000006</v>
      </c>
      <c r="G355" s="16" t="n">
        <f aca="false">IF(A355=A354,IF(F355&gt;0,F355,0),"")</f>
        <v>8.69000000000006</v>
      </c>
      <c r="H355" s="16" t="n">
        <f aca="false">IF(A355=A354,IF(F355&lt;0,-F355,0),"")</f>
        <v>0</v>
      </c>
    </row>
    <row r="356" customFormat="false" ht="15" hidden="false" customHeight="false" outlineLevel="0" collapsed="false">
      <c r="A356" s="14" t="s">
        <v>90</v>
      </c>
      <c r="B356" s="15" t="n">
        <v>46006</v>
      </c>
      <c r="C356" s="14" t="n">
        <v>3070.11</v>
      </c>
      <c r="D356" s="14" t="n">
        <v>1117865</v>
      </c>
      <c r="E356" s="16" t="n">
        <f aca="false">COUNTIFS($A$2:$A$1561,A356,$B$2:$B$1561,"&gt;"&amp;B356)+1</f>
        <v>166</v>
      </c>
      <c r="F356" s="16" t="n">
        <f aca="false">IF(A356=A355,C356-C355,"")</f>
        <v>9.71000000000004</v>
      </c>
      <c r="G356" s="16" t="n">
        <f aca="false">IF(A356=A355,IF(F356&gt;0,F356,0),"")</f>
        <v>9.71000000000004</v>
      </c>
      <c r="H356" s="16" t="n">
        <f aca="false">IF(A356=A355,IF(F356&lt;0,-F356,0),"")</f>
        <v>0</v>
      </c>
    </row>
    <row r="357" customFormat="false" ht="15" hidden="false" customHeight="false" outlineLevel="0" collapsed="false">
      <c r="A357" s="14" t="s">
        <v>90</v>
      </c>
      <c r="B357" s="15" t="n">
        <v>46007</v>
      </c>
      <c r="C357" s="14" t="n">
        <v>3068.5</v>
      </c>
      <c r="D357" s="14" t="n">
        <v>1659147</v>
      </c>
      <c r="E357" s="16" t="n">
        <f aca="false">COUNTIFS($A$2:$A$1561,A357,$B$2:$B$1561,"&gt;"&amp;B357)+1</f>
        <v>165</v>
      </c>
      <c r="F357" s="16" t="n">
        <f aca="false">IF(A357=A356,C357-C356,"")</f>
        <v>-1.61000000000013</v>
      </c>
      <c r="G357" s="16" t="n">
        <f aca="false">IF(A357=A356,IF(F357&gt;0,F357,0),"")</f>
        <v>0</v>
      </c>
      <c r="H357" s="16" t="n">
        <f aca="false">IF(A357=A356,IF(F357&lt;0,-F357,0),"")</f>
        <v>1.61000000000013</v>
      </c>
    </row>
    <row r="358" customFormat="false" ht="15" hidden="false" customHeight="false" outlineLevel="0" collapsed="false">
      <c r="A358" s="14" t="s">
        <v>90</v>
      </c>
      <c r="B358" s="15" t="n">
        <v>46008</v>
      </c>
      <c r="C358" s="14" t="n">
        <v>3082.99</v>
      </c>
      <c r="D358" s="14" t="n">
        <v>680266</v>
      </c>
      <c r="E358" s="16" t="n">
        <f aca="false">COUNTIFS($A$2:$A$1561,A358,$B$2:$B$1561,"&gt;"&amp;B358)+1</f>
        <v>164</v>
      </c>
      <c r="F358" s="16" t="n">
        <f aca="false">IF(A358=A357,C358-C357,"")</f>
        <v>14.4899999999998</v>
      </c>
      <c r="G358" s="16" t="n">
        <f aca="false">IF(A358=A357,IF(F358&gt;0,F358,0),"")</f>
        <v>14.4899999999998</v>
      </c>
      <c r="H358" s="16" t="n">
        <f aca="false">IF(A358=A357,IF(F358&lt;0,-F358,0),"")</f>
        <v>0</v>
      </c>
    </row>
    <row r="359" customFormat="false" ht="15" hidden="false" customHeight="false" outlineLevel="0" collapsed="false">
      <c r="A359" s="14" t="s">
        <v>90</v>
      </c>
      <c r="B359" s="15" t="n">
        <v>46009</v>
      </c>
      <c r="C359" s="14" t="n">
        <v>3073.29</v>
      </c>
      <c r="D359" s="14" t="n">
        <v>1994961</v>
      </c>
      <c r="E359" s="16" t="n">
        <f aca="false">COUNTIFS($A$2:$A$1561,A359,$B$2:$B$1561,"&gt;"&amp;B359)+1</f>
        <v>163</v>
      </c>
      <c r="F359" s="16" t="n">
        <f aca="false">IF(A359=A358,C359-C358,"")</f>
        <v>-9.69999999999982</v>
      </c>
      <c r="G359" s="16" t="n">
        <f aca="false">IF(A359=A358,IF(F359&gt;0,F359,0),"")</f>
        <v>0</v>
      </c>
      <c r="H359" s="16" t="n">
        <f aca="false">IF(A359=A358,IF(F359&lt;0,-F359,0),"")</f>
        <v>9.69999999999982</v>
      </c>
    </row>
    <row r="360" customFormat="false" ht="15" hidden="false" customHeight="false" outlineLevel="0" collapsed="false">
      <c r="A360" s="14" t="s">
        <v>90</v>
      </c>
      <c r="B360" s="15" t="n">
        <v>46010</v>
      </c>
      <c r="C360" s="14" t="n">
        <v>3057</v>
      </c>
      <c r="D360" s="14" t="n">
        <v>764319</v>
      </c>
      <c r="E360" s="16" t="n">
        <f aca="false">COUNTIFS($A$2:$A$1561,A360,$B$2:$B$1561,"&gt;"&amp;B360)+1</f>
        <v>162</v>
      </c>
      <c r="F360" s="16" t="n">
        <f aca="false">IF(A360=A359,C360-C359,"")</f>
        <v>-16.29</v>
      </c>
      <c r="G360" s="16" t="n">
        <f aca="false">IF(A360=A359,IF(F360&gt;0,F360,0),"")</f>
        <v>0</v>
      </c>
      <c r="H360" s="16" t="n">
        <f aca="false">IF(A360=A359,IF(F360&lt;0,-F360,0),"")</f>
        <v>16.29</v>
      </c>
    </row>
    <row r="361" customFormat="false" ht="15" hidden="false" customHeight="false" outlineLevel="0" collapsed="false">
      <c r="A361" s="14" t="s">
        <v>90</v>
      </c>
      <c r="B361" s="15" t="n">
        <v>46013</v>
      </c>
      <c r="C361" s="14" t="n">
        <v>3060.82</v>
      </c>
      <c r="D361" s="14" t="n">
        <v>2442979</v>
      </c>
      <c r="E361" s="16" t="n">
        <f aca="false">COUNTIFS($A$2:$A$1561,A361,$B$2:$B$1561,"&gt;"&amp;B361)+1</f>
        <v>161</v>
      </c>
      <c r="F361" s="16" t="n">
        <f aca="false">IF(A361=A360,C361-C360,"")</f>
        <v>3.82000000000016</v>
      </c>
      <c r="G361" s="16" t="n">
        <f aca="false">IF(A361=A360,IF(F361&gt;0,F361,0),"")</f>
        <v>3.82000000000016</v>
      </c>
      <c r="H361" s="16" t="n">
        <f aca="false">IF(A361=A360,IF(F361&lt;0,-F361,0),"")</f>
        <v>0</v>
      </c>
    </row>
    <row r="362" customFormat="false" ht="15" hidden="false" customHeight="false" outlineLevel="0" collapsed="false">
      <c r="A362" s="14" t="s">
        <v>90</v>
      </c>
      <c r="B362" s="15" t="n">
        <v>46014</v>
      </c>
      <c r="C362" s="14" t="n">
        <v>3064.17</v>
      </c>
      <c r="D362" s="14" t="n">
        <v>2326973</v>
      </c>
      <c r="E362" s="16" t="n">
        <f aca="false">COUNTIFS($A$2:$A$1561,A362,$B$2:$B$1561,"&gt;"&amp;B362)+1</f>
        <v>160</v>
      </c>
      <c r="F362" s="16" t="n">
        <f aca="false">IF(A362=A361,C362-C361,"")</f>
        <v>3.34999999999991</v>
      </c>
      <c r="G362" s="16" t="n">
        <f aca="false">IF(A362=A361,IF(F362&gt;0,F362,0),"")</f>
        <v>3.34999999999991</v>
      </c>
      <c r="H362" s="16" t="n">
        <f aca="false">IF(A362=A361,IF(F362&lt;0,-F362,0),"")</f>
        <v>0</v>
      </c>
    </row>
    <row r="363" customFormat="false" ht="15" hidden="false" customHeight="false" outlineLevel="0" collapsed="false">
      <c r="A363" s="14" t="s">
        <v>90</v>
      </c>
      <c r="B363" s="15" t="n">
        <v>46015</v>
      </c>
      <c r="C363" s="14" t="n">
        <v>3084.06</v>
      </c>
      <c r="D363" s="14" t="n">
        <v>1013940</v>
      </c>
      <c r="E363" s="16" t="n">
        <f aca="false">COUNTIFS($A$2:$A$1561,A363,$B$2:$B$1561,"&gt;"&amp;B363)+1</f>
        <v>159</v>
      </c>
      <c r="F363" s="16" t="n">
        <f aca="false">IF(A363=A362,C363-C362,"")</f>
        <v>19.8899999999999</v>
      </c>
      <c r="G363" s="16" t="n">
        <f aca="false">IF(A363=A362,IF(F363&gt;0,F363,0),"")</f>
        <v>19.8899999999999</v>
      </c>
      <c r="H363" s="16" t="n">
        <f aca="false">IF(A363=A362,IF(F363&lt;0,-F363,0),"")</f>
        <v>0</v>
      </c>
    </row>
    <row r="364" customFormat="false" ht="15" hidden="false" customHeight="false" outlineLevel="0" collapsed="false">
      <c r="A364" s="14" t="s">
        <v>90</v>
      </c>
      <c r="B364" s="15" t="n">
        <v>46016</v>
      </c>
      <c r="C364" s="14" t="n">
        <v>3103.75</v>
      </c>
      <c r="D364" s="14" t="n">
        <v>1463695</v>
      </c>
      <c r="E364" s="16" t="n">
        <f aca="false">COUNTIFS($A$2:$A$1561,A364,$B$2:$B$1561,"&gt;"&amp;B364)+1</f>
        <v>158</v>
      </c>
      <c r="F364" s="16" t="n">
        <f aca="false">IF(A364=A363,C364-C363,"")</f>
        <v>19.6900000000001</v>
      </c>
      <c r="G364" s="16" t="n">
        <f aca="false">IF(A364=A363,IF(F364&gt;0,F364,0),"")</f>
        <v>19.6900000000001</v>
      </c>
      <c r="H364" s="16" t="n">
        <f aca="false">IF(A364=A363,IF(F364&lt;0,-F364,0),"")</f>
        <v>0</v>
      </c>
    </row>
    <row r="365" customFormat="false" ht="15" hidden="false" customHeight="false" outlineLevel="0" collapsed="false">
      <c r="A365" s="14" t="s">
        <v>90</v>
      </c>
      <c r="B365" s="15" t="n">
        <v>46017</v>
      </c>
      <c r="C365" s="14" t="n">
        <v>3122.55</v>
      </c>
      <c r="D365" s="14" t="n">
        <v>1993118</v>
      </c>
      <c r="E365" s="16" t="n">
        <f aca="false">COUNTIFS($A$2:$A$1561,A365,$B$2:$B$1561,"&gt;"&amp;B365)+1</f>
        <v>157</v>
      </c>
      <c r="F365" s="16" t="n">
        <f aca="false">IF(A365=A364,C365-C364,"")</f>
        <v>18.8000000000002</v>
      </c>
      <c r="G365" s="16" t="n">
        <f aca="false">IF(A365=A364,IF(F365&gt;0,F365,0),"")</f>
        <v>18.8000000000002</v>
      </c>
      <c r="H365" s="16" t="n">
        <f aca="false">IF(A365=A364,IF(F365&lt;0,-F365,0),"")</f>
        <v>0</v>
      </c>
    </row>
    <row r="366" customFormat="false" ht="15" hidden="false" customHeight="false" outlineLevel="0" collapsed="false">
      <c r="A366" s="14" t="s">
        <v>90</v>
      </c>
      <c r="B366" s="15" t="n">
        <v>46020</v>
      </c>
      <c r="C366" s="14" t="n">
        <v>3115.17</v>
      </c>
      <c r="D366" s="14" t="n">
        <v>730339</v>
      </c>
      <c r="E366" s="16" t="n">
        <f aca="false">COUNTIFS($A$2:$A$1561,A366,$B$2:$B$1561,"&gt;"&amp;B366)+1</f>
        <v>156</v>
      </c>
      <c r="F366" s="16" t="n">
        <f aca="false">IF(A366=A365,C366-C365,"")</f>
        <v>-7.38000000000011</v>
      </c>
      <c r="G366" s="16" t="n">
        <f aca="false">IF(A366=A365,IF(F366&gt;0,F366,0),"")</f>
        <v>0</v>
      </c>
      <c r="H366" s="16" t="n">
        <f aca="false">IF(A366=A365,IF(F366&lt;0,-F366,0),"")</f>
        <v>7.38000000000011</v>
      </c>
    </row>
    <row r="367" customFormat="false" ht="15" hidden="false" customHeight="false" outlineLevel="0" collapsed="false">
      <c r="A367" s="14" t="s">
        <v>90</v>
      </c>
      <c r="B367" s="15" t="n">
        <v>46021</v>
      </c>
      <c r="C367" s="14" t="n">
        <v>3142.8</v>
      </c>
      <c r="D367" s="14" t="n">
        <v>781514</v>
      </c>
      <c r="E367" s="16" t="n">
        <f aca="false">COUNTIFS($A$2:$A$1561,A367,$B$2:$B$1561,"&gt;"&amp;B367)+1</f>
        <v>155</v>
      </c>
      <c r="F367" s="16" t="n">
        <f aca="false">IF(A367=A366,C367-C366,"")</f>
        <v>27.6300000000001</v>
      </c>
      <c r="G367" s="16" t="n">
        <f aca="false">IF(A367=A366,IF(F367&gt;0,F367,0),"")</f>
        <v>27.6300000000001</v>
      </c>
      <c r="H367" s="16" t="n">
        <f aca="false">IF(A367=A366,IF(F367&lt;0,-F367,0),"")</f>
        <v>0</v>
      </c>
    </row>
    <row r="368" customFormat="false" ht="15" hidden="false" customHeight="false" outlineLevel="0" collapsed="false">
      <c r="A368" s="14" t="s">
        <v>90</v>
      </c>
      <c r="B368" s="15" t="n">
        <v>46022</v>
      </c>
      <c r="C368" s="14" t="n">
        <v>3170.89</v>
      </c>
      <c r="D368" s="14" t="n">
        <v>2220281</v>
      </c>
      <c r="E368" s="16" t="n">
        <f aca="false">COUNTIFS($A$2:$A$1561,A368,$B$2:$B$1561,"&gt;"&amp;B368)+1</f>
        <v>154</v>
      </c>
      <c r="F368" s="16" t="n">
        <f aca="false">IF(A368=A367,C368-C367,"")</f>
        <v>28.0899999999997</v>
      </c>
      <c r="G368" s="16" t="n">
        <f aca="false">IF(A368=A367,IF(F368&gt;0,F368,0),"")</f>
        <v>28.0899999999997</v>
      </c>
      <c r="H368" s="16" t="n">
        <f aca="false">IF(A368=A367,IF(F368&lt;0,-F368,0),"")</f>
        <v>0</v>
      </c>
    </row>
    <row r="369" customFormat="false" ht="15" hidden="false" customHeight="false" outlineLevel="0" collapsed="false">
      <c r="A369" s="14" t="s">
        <v>90</v>
      </c>
      <c r="B369" s="15" t="n">
        <v>46023</v>
      </c>
      <c r="C369" s="14" t="n">
        <v>3185.4</v>
      </c>
      <c r="D369" s="14" t="n">
        <v>2459884</v>
      </c>
      <c r="E369" s="16" t="n">
        <f aca="false">COUNTIFS($A$2:$A$1561,A369,$B$2:$B$1561,"&gt;"&amp;B369)+1</f>
        <v>153</v>
      </c>
      <c r="F369" s="16" t="n">
        <f aca="false">IF(A369=A368,C369-C368,"")</f>
        <v>14.5100000000002</v>
      </c>
      <c r="G369" s="16" t="n">
        <f aca="false">IF(A369=A368,IF(F369&gt;0,F369,0),"")</f>
        <v>14.5100000000002</v>
      </c>
      <c r="H369" s="16" t="n">
        <f aca="false">IF(A369=A368,IF(F369&lt;0,-F369,0),"")</f>
        <v>0</v>
      </c>
    </row>
    <row r="370" customFormat="false" ht="15" hidden="false" customHeight="false" outlineLevel="0" collapsed="false">
      <c r="A370" s="14" t="s">
        <v>90</v>
      </c>
      <c r="B370" s="15" t="n">
        <v>46024</v>
      </c>
      <c r="C370" s="14" t="n">
        <v>3213.91</v>
      </c>
      <c r="D370" s="14" t="n">
        <v>2109175</v>
      </c>
      <c r="E370" s="16" t="n">
        <f aca="false">COUNTIFS($A$2:$A$1561,A370,$B$2:$B$1561,"&gt;"&amp;B370)+1</f>
        <v>152</v>
      </c>
      <c r="F370" s="16" t="n">
        <f aca="false">IF(A370=A369,C370-C369,"")</f>
        <v>28.5099999999998</v>
      </c>
      <c r="G370" s="16" t="n">
        <f aca="false">IF(A370=A369,IF(F370&gt;0,F370,0),"")</f>
        <v>28.5099999999998</v>
      </c>
      <c r="H370" s="16" t="n">
        <f aca="false">IF(A370=A369,IF(F370&lt;0,-F370,0),"")</f>
        <v>0</v>
      </c>
    </row>
    <row r="371" customFormat="false" ht="15" hidden="false" customHeight="false" outlineLevel="0" collapsed="false">
      <c r="A371" s="14" t="s">
        <v>90</v>
      </c>
      <c r="B371" s="15" t="n">
        <v>46027</v>
      </c>
      <c r="C371" s="14" t="n">
        <v>3207.88</v>
      </c>
      <c r="D371" s="14" t="n">
        <v>2081363</v>
      </c>
      <c r="E371" s="16" t="n">
        <f aca="false">COUNTIFS($A$2:$A$1561,A371,$B$2:$B$1561,"&gt;"&amp;B371)+1</f>
        <v>151</v>
      </c>
      <c r="F371" s="16" t="n">
        <f aca="false">IF(A371=A370,C371-C370,"")</f>
        <v>-6.02999999999975</v>
      </c>
      <c r="G371" s="16" t="n">
        <f aca="false">IF(A371=A370,IF(F371&gt;0,F371,0),"")</f>
        <v>0</v>
      </c>
      <c r="H371" s="16" t="n">
        <f aca="false">IF(A371=A370,IF(F371&lt;0,-F371,0),"")</f>
        <v>6.02999999999975</v>
      </c>
    </row>
    <row r="372" customFormat="false" ht="15" hidden="false" customHeight="false" outlineLevel="0" collapsed="false">
      <c r="A372" s="14" t="s">
        <v>90</v>
      </c>
      <c r="B372" s="15" t="n">
        <v>46028</v>
      </c>
      <c r="C372" s="14" t="n">
        <v>3181.55</v>
      </c>
      <c r="D372" s="14" t="n">
        <v>1573144</v>
      </c>
      <c r="E372" s="16" t="n">
        <f aca="false">COUNTIFS($A$2:$A$1561,A372,$B$2:$B$1561,"&gt;"&amp;B372)+1</f>
        <v>150</v>
      </c>
      <c r="F372" s="16" t="n">
        <f aca="false">IF(A372=A371,C372-C371,"")</f>
        <v>-26.3299999999999</v>
      </c>
      <c r="G372" s="16" t="n">
        <f aca="false">IF(A372=A371,IF(F372&gt;0,F372,0),"")</f>
        <v>0</v>
      </c>
      <c r="H372" s="16" t="n">
        <f aca="false">IF(A372=A371,IF(F372&lt;0,-F372,0),"")</f>
        <v>26.3299999999999</v>
      </c>
    </row>
    <row r="373" customFormat="false" ht="15" hidden="false" customHeight="false" outlineLevel="0" collapsed="false">
      <c r="A373" s="14" t="s">
        <v>90</v>
      </c>
      <c r="B373" s="15" t="n">
        <v>46029</v>
      </c>
      <c r="C373" s="14" t="n">
        <v>3180.68</v>
      </c>
      <c r="D373" s="14" t="n">
        <v>1845656</v>
      </c>
      <c r="E373" s="16" t="n">
        <f aca="false">COUNTIFS($A$2:$A$1561,A373,$B$2:$B$1561,"&gt;"&amp;B373)+1</f>
        <v>149</v>
      </c>
      <c r="F373" s="16" t="n">
        <f aca="false">IF(A373=A372,C373-C372,"")</f>
        <v>-0.870000000000346</v>
      </c>
      <c r="G373" s="16" t="n">
        <f aca="false">IF(A373=A372,IF(F373&gt;0,F373,0),"")</f>
        <v>0</v>
      </c>
      <c r="H373" s="16" t="n">
        <f aca="false">IF(A373=A372,IF(F373&lt;0,-F373,0),"")</f>
        <v>0.870000000000346</v>
      </c>
    </row>
    <row r="374" customFormat="false" ht="15" hidden="false" customHeight="false" outlineLevel="0" collapsed="false">
      <c r="A374" s="14" t="s">
        <v>90</v>
      </c>
      <c r="B374" s="15" t="n">
        <v>46030</v>
      </c>
      <c r="C374" s="14" t="n">
        <v>3192.26</v>
      </c>
      <c r="D374" s="14" t="n">
        <v>1669120</v>
      </c>
      <c r="E374" s="16" t="n">
        <f aca="false">COUNTIFS($A$2:$A$1561,A374,$B$2:$B$1561,"&gt;"&amp;B374)+1</f>
        <v>148</v>
      </c>
      <c r="F374" s="16" t="n">
        <f aca="false">IF(A374=A373,C374-C373,"")</f>
        <v>11.5800000000004</v>
      </c>
      <c r="G374" s="16" t="n">
        <f aca="false">IF(A374=A373,IF(F374&gt;0,F374,0),"")</f>
        <v>11.5800000000004</v>
      </c>
      <c r="H374" s="16" t="n">
        <f aca="false">IF(A374=A373,IF(F374&lt;0,-F374,0),"")</f>
        <v>0</v>
      </c>
    </row>
    <row r="375" customFormat="false" ht="15" hidden="false" customHeight="false" outlineLevel="0" collapsed="false">
      <c r="A375" s="14" t="s">
        <v>90</v>
      </c>
      <c r="B375" s="15" t="n">
        <v>46031</v>
      </c>
      <c r="C375" s="14" t="n">
        <v>3212.51</v>
      </c>
      <c r="D375" s="14" t="n">
        <v>2380583</v>
      </c>
      <c r="E375" s="16" t="n">
        <f aca="false">COUNTIFS($A$2:$A$1561,A375,$B$2:$B$1561,"&gt;"&amp;B375)+1</f>
        <v>147</v>
      </c>
      <c r="F375" s="16" t="n">
        <f aca="false">IF(A375=A374,C375-C374,"")</f>
        <v>20.25</v>
      </c>
      <c r="G375" s="16" t="n">
        <f aca="false">IF(A375=A374,IF(F375&gt;0,F375,0),"")</f>
        <v>20.25</v>
      </c>
      <c r="H375" s="16" t="n">
        <f aca="false">IF(A375=A374,IF(F375&lt;0,-F375,0),"")</f>
        <v>0</v>
      </c>
    </row>
    <row r="376" customFormat="false" ht="15" hidden="false" customHeight="false" outlineLevel="0" collapsed="false">
      <c r="A376" s="14" t="s">
        <v>90</v>
      </c>
      <c r="B376" s="15" t="n">
        <v>46034</v>
      </c>
      <c r="C376" s="14" t="n">
        <v>3191.6</v>
      </c>
      <c r="D376" s="14" t="n">
        <v>967643</v>
      </c>
      <c r="E376" s="16" t="n">
        <f aca="false">COUNTIFS($A$2:$A$1561,A376,$B$2:$B$1561,"&gt;"&amp;B376)+1</f>
        <v>146</v>
      </c>
      <c r="F376" s="16" t="n">
        <f aca="false">IF(A376=A375,C376-C375,"")</f>
        <v>-20.9100000000003</v>
      </c>
      <c r="G376" s="16" t="n">
        <f aca="false">IF(A376=A375,IF(F376&gt;0,F376,0),"")</f>
        <v>0</v>
      </c>
      <c r="H376" s="16" t="n">
        <f aca="false">IF(A376=A375,IF(F376&lt;0,-F376,0),"")</f>
        <v>20.9100000000003</v>
      </c>
    </row>
    <row r="377" customFormat="false" ht="15" hidden="false" customHeight="false" outlineLevel="0" collapsed="false">
      <c r="A377" s="14" t="s">
        <v>90</v>
      </c>
      <c r="B377" s="15" t="n">
        <v>46035</v>
      </c>
      <c r="C377" s="14" t="n">
        <v>3166.04</v>
      </c>
      <c r="D377" s="14" t="n">
        <v>2268469</v>
      </c>
      <c r="E377" s="16" t="n">
        <f aca="false">COUNTIFS($A$2:$A$1561,A377,$B$2:$B$1561,"&gt;"&amp;B377)+1</f>
        <v>145</v>
      </c>
      <c r="F377" s="16" t="n">
        <f aca="false">IF(A377=A376,C377-C376,"")</f>
        <v>-25.5599999999999</v>
      </c>
      <c r="G377" s="16" t="n">
        <f aca="false">IF(A377=A376,IF(F377&gt;0,F377,0),"")</f>
        <v>0</v>
      </c>
      <c r="H377" s="16" t="n">
        <f aca="false">IF(A377=A376,IF(F377&lt;0,-F377,0),"")</f>
        <v>25.5599999999999</v>
      </c>
    </row>
    <row r="378" customFormat="false" ht="15" hidden="false" customHeight="false" outlineLevel="0" collapsed="false">
      <c r="A378" s="14" t="s">
        <v>90</v>
      </c>
      <c r="B378" s="15" t="n">
        <v>46036</v>
      </c>
      <c r="C378" s="14" t="n">
        <v>3171.25</v>
      </c>
      <c r="D378" s="14" t="n">
        <v>2330511</v>
      </c>
      <c r="E378" s="16" t="n">
        <f aca="false">COUNTIFS($A$2:$A$1561,A378,$B$2:$B$1561,"&gt;"&amp;B378)+1</f>
        <v>144</v>
      </c>
      <c r="F378" s="16" t="n">
        <f aca="false">IF(A378=A377,C378-C377,"")</f>
        <v>5.21000000000004</v>
      </c>
      <c r="G378" s="16" t="n">
        <f aca="false">IF(A378=A377,IF(F378&gt;0,F378,0),"")</f>
        <v>5.21000000000004</v>
      </c>
      <c r="H378" s="16" t="n">
        <f aca="false">IF(A378=A377,IF(F378&lt;0,-F378,0),"")</f>
        <v>0</v>
      </c>
    </row>
    <row r="379" customFormat="false" ht="15" hidden="false" customHeight="false" outlineLevel="0" collapsed="false">
      <c r="A379" s="14" t="s">
        <v>90</v>
      </c>
      <c r="B379" s="15" t="n">
        <v>46037</v>
      </c>
      <c r="C379" s="14" t="n">
        <v>3157.05</v>
      </c>
      <c r="D379" s="14" t="n">
        <v>626434</v>
      </c>
      <c r="E379" s="16" t="n">
        <f aca="false">COUNTIFS($A$2:$A$1561,A379,$B$2:$B$1561,"&gt;"&amp;B379)+1</f>
        <v>143</v>
      </c>
      <c r="F379" s="16" t="n">
        <f aca="false">IF(A379=A378,C379-C378,"")</f>
        <v>-14.1999999999998</v>
      </c>
      <c r="G379" s="16" t="n">
        <f aca="false">IF(A379=A378,IF(F379&gt;0,F379,0),"")</f>
        <v>0</v>
      </c>
      <c r="H379" s="16" t="n">
        <f aca="false">IF(A379=A378,IF(F379&lt;0,-F379,0),"")</f>
        <v>14.1999999999998</v>
      </c>
    </row>
    <row r="380" customFormat="false" ht="15" hidden="false" customHeight="false" outlineLevel="0" collapsed="false">
      <c r="A380" s="14" t="s">
        <v>90</v>
      </c>
      <c r="B380" s="15" t="n">
        <v>46038</v>
      </c>
      <c r="C380" s="14" t="n">
        <v>3177.16</v>
      </c>
      <c r="D380" s="14" t="n">
        <v>2318775</v>
      </c>
      <c r="E380" s="16" t="n">
        <f aca="false">COUNTIFS($A$2:$A$1561,A380,$B$2:$B$1561,"&gt;"&amp;B380)+1</f>
        <v>142</v>
      </c>
      <c r="F380" s="16" t="n">
        <f aca="false">IF(A380=A379,C380-C379,"")</f>
        <v>20.1099999999997</v>
      </c>
      <c r="G380" s="16" t="n">
        <f aca="false">IF(A380=A379,IF(F380&gt;0,F380,0),"")</f>
        <v>20.1099999999997</v>
      </c>
      <c r="H380" s="16" t="n">
        <f aca="false">IF(A380=A379,IF(F380&lt;0,-F380,0),"")</f>
        <v>0</v>
      </c>
    </row>
    <row r="381" customFormat="false" ht="15" hidden="false" customHeight="false" outlineLevel="0" collapsed="false">
      <c r="A381" s="14" t="s">
        <v>90</v>
      </c>
      <c r="B381" s="15" t="n">
        <v>46041</v>
      </c>
      <c r="C381" s="14" t="n">
        <v>3167.56</v>
      </c>
      <c r="D381" s="14" t="n">
        <v>1316591</v>
      </c>
      <c r="E381" s="16" t="n">
        <f aca="false">COUNTIFS($A$2:$A$1561,A381,$B$2:$B$1561,"&gt;"&amp;B381)+1</f>
        <v>141</v>
      </c>
      <c r="F381" s="16" t="n">
        <f aca="false">IF(A381=A380,C381-C380,"")</f>
        <v>-9.59999999999991</v>
      </c>
      <c r="G381" s="16" t="n">
        <f aca="false">IF(A381=A380,IF(F381&gt;0,F381,0),"")</f>
        <v>0</v>
      </c>
      <c r="H381" s="16" t="n">
        <f aca="false">IF(A381=A380,IF(F381&lt;0,-F381,0),"")</f>
        <v>9.59999999999991</v>
      </c>
    </row>
    <row r="382" customFormat="false" ht="15" hidden="false" customHeight="false" outlineLevel="0" collapsed="false">
      <c r="A382" s="14" t="s">
        <v>90</v>
      </c>
      <c r="B382" s="15" t="n">
        <v>46042</v>
      </c>
      <c r="C382" s="14" t="n">
        <v>3148.74</v>
      </c>
      <c r="D382" s="14" t="n">
        <v>2392523</v>
      </c>
      <c r="E382" s="16" t="n">
        <f aca="false">COUNTIFS($A$2:$A$1561,A382,$B$2:$B$1561,"&gt;"&amp;B382)+1</f>
        <v>140</v>
      </c>
      <c r="F382" s="16" t="n">
        <f aca="false">IF(A382=A381,C382-C381,"")</f>
        <v>-18.8200000000002</v>
      </c>
      <c r="G382" s="16" t="n">
        <f aca="false">IF(A382=A381,IF(F382&gt;0,F382,0),"")</f>
        <v>0</v>
      </c>
      <c r="H382" s="16" t="n">
        <f aca="false">IF(A382=A381,IF(F382&lt;0,-F382,0),"")</f>
        <v>18.8200000000002</v>
      </c>
    </row>
    <row r="383" customFormat="false" ht="15" hidden="false" customHeight="false" outlineLevel="0" collapsed="false">
      <c r="A383" s="14" t="s">
        <v>90</v>
      </c>
      <c r="B383" s="15" t="n">
        <v>46043</v>
      </c>
      <c r="C383" s="14" t="n">
        <v>3139.35</v>
      </c>
      <c r="D383" s="14" t="n">
        <v>1485249</v>
      </c>
      <c r="E383" s="16" t="n">
        <f aca="false">COUNTIFS($A$2:$A$1561,A383,$B$2:$B$1561,"&gt;"&amp;B383)+1</f>
        <v>139</v>
      </c>
      <c r="F383" s="16" t="n">
        <f aca="false">IF(A383=A382,C383-C382,"")</f>
        <v>-9.38999999999987</v>
      </c>
      <c r="G383" s="16" t="n">
        <f aca="false">IF(A383=A382,IF(F383&gt;0,F383,0),"")</f>
        <v>0</v>
      </c>
      <c r="H383" s="16" t="n">
        <f aca="false">IF(A383=A382,IF(F383&lt;0,-F383,0),"")</f>
        <v>9.38999999999987</v>
      </c>
    </row>
    <row r="384" customFormat="false" ht="15" hidden="false" customHeight="false" outlineLevel="0" collapsed="false">
      <c r="A384" s="14" t="s">
        <v>90</v>
      </c>
      <c r="B384" s="15" t="n">
        <v>46044</v>
      </c>
      <c r="C384" s="14" t="n">
        <v>3118.28</v>
      </c>
      <c r="D384" s="14" t="n">
        <v>2274518</v>
      </c>
      <c r="E384" s="16" t="n">
        <f aca="false">COUNTIFS($A$2:$A$1561,A384,$B$2:$B$1561,"&gt;"&amp;B384)+1</f>
        <v>138</v>
      </c>
      <c r="F384" s="16" t="n">
        <f aca="false">IF(A384=A383,C384-C383,"")</f>
        <v>-21.0699999999997</v>
      </c>
      <c r="G384" s="16" t="n">
        <f aca="false">IF(A384=A383,IF(F384&gt;0,F384,0),"")</f>
        <v>0</v>
      </c>
      <c r="H384" s="16" t="n">
        <f aca="false">IF(A384=A383,IF(F384&lt;0,-F384,0),"")</f>
        <v>21.0699999999997</v>
      </c>
    </row>
    <row r="385" customFormat="false" ht="15" hidden="false" customHeight="false" outlineLevel="0" collapsed="false">
      <c r="A385" s="14" t="s">
        <v>90</v>
      </c>
      <c r="B385" s="15" t="n">
        <v>46045</v>
      </c>
      <c r="C385" s="14" t="n">
        <v>3099.52</v>
      </c>
      <c r="D385" s="14" t="n">
        <v>1407287</v>
      </c>
      <c r="E385" s="16" t="n">
        <f aca="false">COUNTIFS($A$2:$A$1561,A385,$B$2:$B$1561,"&gt;"&amp;B385)+1</f>
        <v>137</v>
      </c>
      <c r="F385" s="16" t="n">
        <f aca="false">IF(A385=A384,C385-C384,"")</f>
        <v>-18.7600000000002</v>
      </c>
      <c r="G385" s="16" t="n">
        <f aca="false">IF(A385=A384,IF(F385&gt;0,F385,0),"")</f>
        <v>0</v>
      </c>
      <c r="H385" s="16" t="n">
        <f aca="false">IF(A385=A384,IF(F385&lt;0,-F385,0),"")</f>
        <v>18.7600000000002</v>
      </c>
    </row>
    <row r="386" customFormat="false" ht="15" hidden="false" customHeight="false" outlineLevel="0" collapsed="false">
      <c r="A386" s="14" t="s">
        <v>90</v>
      </c>
      <c r="B386" s="15" t="n">
        <v>46048</v>
      </c>
      <c r="C386" s="14" t="n">
        <v>3110.7</v>
      </c>
      <c r="D386" s="14" t="n">
        <v>1986280</v>
      </c>
      <c r="E386" s="16" t="n">
        <f aca="false">COUNTIFS($A$2:$A$1561,A386,$B$2:$B$1561,"&gt;"&amp;B386)+1</f>
        <v>136</v>
      </c>
      <c r="F386" s="16" t="n">
        <f aca="false">IF(A386=A385,C386-C385,"")</f>
        <v>11.1799999999998</v>
      </c>
      <c r="G386" s="16" t="n">
        <f aca="false">IF(A386=A385,IF(F386&gt;0,F386,0),"")</f>
        <v>11.1799999999998</v>
      </c>
      <c r="H386" s="16" t="n">
        <f aca="false">IF(A386=A385,IF(F386&lt;0,-F386,0),"")</f>
        <v>0</v>
      </c>
    </row>
    <row r="387" customFormat="false" ht="15" hidden="false" customHeight="false" outlineLevel="0" collapsed="false">
      <c r="A387" s="14" t="s">
        <v>90</v>
      </c>
      <c r="B387" s="15" t="n">
        <v>46049</v>
      </c>
      <c r="C387" s="14" t="n">
        <v>3137.35</v>
      </c>
      <c r="D387" s="14" t="n">
        <v>1338253</v>
      </c>
      <c r="E387" s="16" t="n">
        <f aca="false">COUNTIFS($A$2:$A$1561,A387,$B$2:$B$1561,"&gt;"&amp;B387)+1</f>
        <v>135</v>
      </c>
      <c r="F387" s="16" t="n">
        <f aca="false">IF(A387=A386,C387-C386,"")</f>
        <v>26.6500000000001</v>
      </c>
      <c r="G387" s="16" t="n">
        <f aca="false">IF(A387=A386,IF(F387&gt;0,F387,0),"")</f>
        <v>26.6500000000001</v>
      </c>
      <c r="H387" s="16" t="n">
        <f aca="false">IF(A387=A386,IF(F387&lt;0,-F387,0),"")</f>
        <v>0</v>
      </c>
    </row>
    <row r="388" customFormat="false" ht="15" hidden="false" customHeight="false" outlineLevel="0" collapsed="false">
      <c r="A388" s="14" t="s">
        <v>90</v>
      </c>
      <c r="B388" s="15" t="n">
        <v>46050</v>
      </c>
      <c r="C388" s="14" t="n">
        <v>3152.73</v>
      </c>
      <c r="D388" s="14" t="n">
        <v>809045</v>
      </c>
      <c r="E388" s="16" t="n">
        <f aca="false">COUNTIFS($A$2:$A$1561,A388,$B$2:$B$1561,"&gt;"&amp;B388)+1</f>
        <v>134</v>
      </c>
      <c r="F388" s="16" t="n">
        <f aca="false">IF(A388=A387,C388-C387,"")</f>
        <v>15.3800000000001</v>
      </c>
      <c r="G388" s="16" t="n">
        <f aca="false">IF(A388=A387,IF(F388&gt;0,F388,0),"")</f>
        <v>15.3800000000001</v>
      </c>
      <c r="H388" s="16" t="n">
        <f aca="false">IF(A388=A387,IF(F388&lt;0,-F388,0),"")</f>
        <v>0</v>
      </c>
    </row>
    <row r="389" customFormat="false" ht="15" hidden="false" customHeight="false" outlineLevel="0" collapsed="false">
      <c r="A389" s="14" t="s">
        <v>90</v>
      </c>
      <c r="B389" s="15" t="n">
        <v>46051</v>
      </c>
      <c r="C389" s="14" t="n">
        <v>3149.6</v>
      </c>
      <c r="D389" s="14" t="n">
        <v>698043</v>
      </c>
      <c r="E389" s="16" t="n">
        <f aca="false">COUNTIFS($A$2:$A$1561,A389,$B$2:$B$1561,"&gt;"&amp;B389)+1</f>
        <v>133</v>
      </c>
      <c r="F389" s="16" t="n">
        <f aca="false">IF(A389=A388,C389-C388,"")</f>
        <v>-3.13000000000011</v>
      </c>
      <c r="G389" s="16" t="n">
        <f aca="false">IF(A389=A388,IF(F389&gt;0,F389,0),"")</f>
        <v>0</v>
      </c>
      <c r="H389" s="16" t="n">
        <f aca="false">IF(A389=A388,IF(F389&lt;0,-F389,0),"")</f>
        <v>3.13000000000011</v>
      </c>
    </row>
    <row r="390" customFormat="false" ht="15" hidden="false" customHeight="false" outlineLevel="0" collapsed="false">
      <c r="A390" s="14" t="s">
        <v>90</v>
      </c>
      <c r="B390" s="15" t="n">
        <v>46052</v>
      </c>
      <c r="C390" s="14" t="n">
        <v>3150.7</v>
      </c>
      <c r="D390" s="14" t="n">
        <v>1316231</v>
      </c>
      <c r="E390" s="16" t="n">
        <f aca="false">COUNTIFS($A$2:$A$1561,A390,$B$2:$B$1561,"&gt;"&amp;B390)+1</f>
        <v>132</v>
      </c>
      <c r="F390" s="16" t="n">
        <f aca="false">IF(A390=A389,C390-C389,"")</f>
        <v>1.09999999999991</v>
      </c>
      <c r="G390" s="16" t="n">
        <f aca="false">IF(A390=A389,IF(F390&gt;0,F390,0),"")</f>
        <v>1.09999999999991</v>
      </c>
      <c r="H390" s="16" t="n">
        <f aca="false">IF(A390=A389,IF(F390&lt;0,-F390,0),"")</f>
        <v>0</v>
      </c>
    </row>
    <row r="391" customFormat="false" ht="15" hidden="false" customHeight="false" outlineLevel="0" collapsed="false">
      <c r="A391" s="14" t="s">
        <v>90</v>
      </c>
      <c r="B391" s="15" t="n">
        <v>46055</v>
      </c>
      <c r="C391" s="14" t="n">
        <v>3178.01</v>
      </c>
      <c r="D391" s="14" t="n">
        <v>565432</v>
      </c>
      <c r="E391" s="16" t="n">
        <f aca="false">COUNTIFS($A$2:$A$1561,A391,$B$2:$B$1561,"&gt;"&amp;B391)+1</f>
        <v>131</v>
      </c>
      <c r="F391" s="16" t="n">
        <f aca="false">IF(A391=A390,C391-C390,"")</f>
        <v>27.3100000000004</v>
      </c>
      <c r="G391" s="16" t="n">
        <f aca="false">IF(A391=A390,IF(F391&gt;0,F391,0),"")</f>
        <v>27.3100000000004</v>
      </c>
      <c r="H391" s="16" t="n">
        <f aca="false">IF(A391=A390,IF(F391&lt;0,-F391,0),"")</f>
        <v>0</v>
      </c>
    </row>
    <row r="392" customFormat="false" ht="15" hidden="false" customHeight="false" outlineLevel="0" collapsed="false">
      <c r="A392" s="14" t="s">
        <v>90</v>
      </c>
      <c r="B392" s="15" t="n">
        <v>46056</v>
      </c>
      <c r="C392" s="14" t="n">
        <v>3172.32</v>
      </c>
      <c r="D392" s="14" t="n">
        <v>1386766</v>
      </c>
      <c r="E392" s="16" t="n">
        <f aca="false">COUNTIFS($A$2:$A$1561,A392,$B$2:$B$1561,"&gt;"&amp;B392)+1</f>
        <v>130</v>
      </c>
      <c r="F392" s="16" t="n">
        <f aca="false">IF(A392=A391,C392-C391,"")</f>
        <v>-5.69000000000006</v>
      </c>
      <c r="G392" s="16" t="n">
        <f aca="false">IF(A392=A391,IF(F392&gt;0,F392,0),"")</f>
        <v>0</v>
      </c>
      <c r="H392" s="16" t="n">
        <f aca="false">IF(A392=A391,IF(F392&lt;0,-F392,0),"")</f>
        <v>5.69000000000006</v>
      </c>
    </row>
    <row r="393" customFormat="false" ht="15" hidden="false" customHeight="false" outlineLevel="0" collapsed="false">
      <c r="A393" s="14" t="s">
        <v>90</v>
      </c>
      <c r="B393" s="15" t="n">
        <v>46057</v>
      </c>
      <c r="C393" s="14" t="n">
        <v>3199.76</v>
      </c>
      <c r="D393" s="14" t="n">
        <v>2210900</v>
      </c>
      <c r="E393" s="16" t="n">
        <f aca="false">COUNTIFS($A$2:$A$1561,A393,$B$2:$B$1561,"&gt;"&amp;B393)+1</f>
        <v>129</v>
      </c>
      <c r="F393" s="16" t="n">
        <f aca="false">IF(A393=A392,C393-C392,"")</f>
        <v>27.4400000000001</v>
      </c>
      <c r="G393" s="16" t="n">
        <f aca="false">IF(A393=A392,IF(F393&gt;0,F393,0),"")</f>
        <v>27.4400000000001</v>
      </c>
      <c r="H393" s="16" t="n">
        <f aca="false">IF(A393=A392,IF(F393&lt;0,-F393,0),"")</f>
        <v>0</v>
      </c>
    </row>
    <row r="394" customFormat="false" ht="15" hidden="false" customHeight="false" outlineLevel="0" collapsed="false">
      <c r="A394" s="14" t="s">
        <v>90</v>
      </c>
      <c r="B394" s="15" t="n">
        <v>46058</v>
      </c>
      <c r="C394" s="14" t="n">
        <v>3178.41</v>
      </c>
      <c r="D394" s="14" t="n">
        <v>1871360</v>
      </c>
      <c r="E394" s="16" t="n">
        <f aca="false">COUNTIFS($A$2:$A$1561,A394,$B$2:$B$1561,"&gt;"&amp;B394)+1</f>
        <v>128</v>
      </c>
      <c r="F394" s="16" t="n">
        <f aca="false">IF(A394=A393,C394-C393,"")</f>
        <v>-21.3500000000004</v>
      </c>
      <c r="G394" s="16" t="n">
        <f aca="false">IF(A394=A393,IF(F394&gt;0,F394,0),"")</f>
        <v>0</v>
      </c>
      <c r="H394" s="16" t="n">
        <f aca="false">IF(A394=A393,IF(F394&lt;0,-F394,0),"")</f>
        <v>21.3500000000004</v>
      </c>
    </row>
    <row r="395" customFormat="false" ht="15" hidden="false" customHeight="false" outlineLevel="0" collapsed="false">
      <c r="A395" s="14" t="s">
        <v>90</v>
      </c>
      <c r="B395" s="15" t="n">
        <v>46059</v>
      </c>
      <c r="C395" s="14" t="n">
        <v>3182.67</v>
      </c>
      <c r="D395" s="14" t="n">
        <v>2455685</v>
      </c>
      <c r="E395" s="16" t="n">
        <f aca="false">COUNTIFS($A$2:$A$1561,A395,$B$2:$B$1561,"&gt;"&amp;B395)+1</f>
        <v>127</v>
      </c>
      <c r="F395" s="16" t="n">
        <f aca="false">IF(A395=A394,C395-C394,"")</f>
        <v>4.26000000000022</v>
      </c>
      <c r="G395" s="16" t="n">
        <f aca="false">IF(A395=A394,IF(F395&gt;0,F395,0),"")</f>
        <v>4.26000000000022</v>
      </c>
      <c r="H395" s="16" t="n">
        <f aca="false">IF(A395=A394,IF(F395&lt;0,-F395,0),"")</f>
        <v>0</v>
      </c>
    </row>
    <row r="396" customFormat="false" ht="15" hidden="false" customHeight="false" outlineLevel="0" collapsed="false">
      <c r="A396" s="14" t="s">
        <v>90</v>
      </c>
      <c r="B396" s="15" t="n">
        <v>46062</v>
      </c>
      <c r="C396" s="14" t="n">
        <v>3176.29</v>
      </c>
      <c r="D396" s="14" t="n">
        <v>1296279</v>
      </c>
      <c r="E396" s="16" t="n">
        <f aca="false">COUNTIFS($A$2:$A$1561,A396,$B$2:$B$1561,"&gt;"&amp;B396)+1</f>
        <v>126</v>
      </c>
      <c r="F396" s="16" t="n">
        <f aca="false">IF(A396=A395,C396-C395,"")</f>
        <v>-6.38000000000011</v>
      </c>
      <c r="G396" s="16" t="n">
        <f aca="false">IF(A396=A395,IF(F396&gt;0,F396,0),"")</f>
        <v>0</v>
      </c>
      <c r="H396" s="16" t="n">
        <f aca="false">IF(A396=A395,IF(F396&lt;0,-F396,0),"")</f>
        <v>6.38000000000011</v>
      </c>
    </row>
    <row r="397" customFormat="false" ht="15" hidden="false" customHeight="false" outlineLevel="0" collapsed="false">
      <c r="A397" s="14" t="s">
        <v>90</v>
      </c>
      <c r="B397" s="15" t="n">
        <v>46063</v>
      </c>
      <c r="C397" s="14" t="n">
        <v>3160.27</v>
      </c>
      <c r="D397" s="14" t="n">
        <v>744319</v>
      </c>
      <c r="E397" s="16" t="n">
        <f aca="false">COUNTIFS($A$2:$A$1561,A397,$B$2:$B$1561,"&gt;"&amp;B397)+1</f>
        <v>125</v>
      </c>
      <c r="F397" s="16" t="n">
        <f aca="false">IF(A397=A396,C397-C396,"")</f>
        <v>-16.02</v>
      </c>
      <c r="G397" s="16" t="n">
        <f aca="false">IF(A397=A396,IF(F397&gt;0,F397,0),"")</f>
        <v>0</v>
      </c>
      <c r="H397" s="16" t="n">
        <f aca="false">IF(A397=A396,IF(F397&lt;0,-F397,0),"")</f>
        <v>16.02</v>
      </c>
    </row>
    <row r="398" customFormat="false" ht="15" hidden="false" customHeight="false" outlineLevel="0" collapsed="false">
      <c r="A398" s="14" t="s">
        <v>90</v>
      </c>
      <c r="B398" s="15" t="n">
        <v>46064</v>
      </c>
      <c r="C398" s="14" t="n">
        <v>3181.78</v>
      </c>
      <c r="D398" s="14" t="n">
        <v>1409434</v>
      </c>
      <c r="E398" s="16" t="n">
        <f aca="false">COUNTIFS($A$2:$A$1561,A398,$B$2:$B$1561,"&gt;"&amp;B398)+1</f>
        <v>124</v>
      </c>
      <c r="F398" s="16" t="n">
        <f aca="false">IF(A398=A397,C398-C397,"")</f>
        <v>21.5100000000002</v>
      </c>
      <c r="G398" s="16" t="n">
        <f aca="false">IF(A398=A397,IF(F398&gt;0,F398,0),"")</f>
        <v>21.5100000000002</v>
      </c>
      <c r="H398" s="16" t="n">
        <f aca="false">IF(A398=A397,IF(F398&lt;0,-F398,0),"")</f>
        <v>0</v>
      </c>
    </row>
    <row r="399" customFormat="false" ht="15" hidden="false" customHeight="false" outlineLevel="0" collapsed="false">
      <c r="A399" s="14" t="s">
        <v>90</v>
      </c>
      <c r="B399" s="15" t="n">
        <v>46065</v>
      </c>
      <c r="C399" s="14" t="n">
        <v>3192.82</v>
      </c>
      <c r="D399" s="14" t="n">
        <v>1783408</v>
      </c>
      <c r="E399" s="16" t="n">
        <f aca="false">COUNTIFS($A$2:$A$1561,A399,$B$2:$B$1561,"&gt;"&amp;B399)+1</f>
        <v>123</v>
      </c>
      <c r="F399" s="16" t="n">
        <f aca="false">IF(A399=A398,C399-C398,"")</f>
        <v>11.04</v>
      </c>
      <c r="G399" s="16" t="n">
        <f aca="false">IF(A399=A398,IF(F399&gt;0,F399,0),"")</f>
        <v>11.04</v>
      </c>
      <c r="H399" s="16" t="n">
        <f aca="false">IF(A399=A398,IF(F399&lt;0,-F399,0),"")</f>
        <v>0</v>
      </c>
    </row>
    <row r="400" customFormat="false" ht="15" hidden="false" customHeight="false" outlineLevel="0" collapsed="false">
      <c r="A400" s="14" t="s">
        <v>90</v>
      </c>
      <c r="B400" s="15" t="n">
        <v>46066</v>
      </c>
      <c r="C400" s="14" t="n">
        <v>3200.12</v>
      </c>
      <c r="D400" s="14" t="n">
        <v>542714</v>
      </c>
      <c r="E400" s="16" t="n">
        <f aca="false">COUNTIFS($A$2:$A$1561,A400,$B$2:$B$1561,"&gt;"&amp;B400)+1</f>
        <v>122</v>
      </c>
      <c r="F400" s="16" t="n">
        <f aca="false">IF(A400=A399,C400-C399,"")</f>
        <v>7.29999999999973</v>
      </c>
      <c r="G400" s="16" t="n">
        <f aca="false">IF(A400=A399,IF(F400&gt;0,F400,0),"")</f>
        <v>7.29999999999973</v>
      </c>
      <c r="H400" s="16" t="n">
        <f aca="false">IF(A400=A399,IF(F400&lt;0,-F400,0),"")</f>
        <v>0</v>
      </c>
    </row>
    <row r="401" customFormat="false" ht="15" hidden="false" customHeight="false" outlineLevel="0" collapsed="false">
      <c r="A401" s="14" t="s">
        <v>90</v>
      </c>
      <c r="B401" s="15" t="n">
        <v>46069</v>
      </c>
      <c r="C401" s="14" t="n">
        <v>3218.37</v>
      </c>
      <c r="D401" s="14" t="n">
        <v>987137</v>
      </c>
      <c r="E401" s="16" t="n">
        <f aca="false">COUNTIFS($A$2:$A$1561,A401,$B$2:$B$1561,"&gt;"&amp;B401)+1</f>
        <v>121</v>
      </c>
      <c r="F401" s="16" t="n">
        <f aca="false">IF(A401=A400,C401-C400,"")</f>
        <v>18.25</v>
      </c>
      <c r="G401" s="16" t="n">
        <f aca="false">IF(A401=A400,IF(F401&gt;0,F401,0),"")</f>
        <v>18.25</v>
      </c>
      <c r="H401" s="16" t="n">
        <f aca="false">IF(A401=A400,IF(F401&lt;0,-F401,0),"")</f>
        <v>0</v>
      </c>
    </row>
    <row r="402" customFormat="false" ht="15" hidden="false" customHeight="false" outlineLevel="0" collapsed="false">
      <c r="A402" s="14" t="s">
        <v>90</v>
      </c>
      <c r="B402" s="15" t="n">
        <v>46070</v>
      </c>
      <c r="C402" s="14" t="n">
        <v>3198.44</v>
      </c>
      <c r="D402" s="14" t="n">
        <v>1629155</v>
      </c>
      <c r="E402" s="16" t="n">
        <f aca="false">COUNTIFS($A$2:$A$1561,A402,$B$2:$B$1561,"&gt;"&amp;B402)+1</f>
        <v>120</v>
      </c>
      <c r="F402" s="16" t="n">
        <f aca="false">IF(A402=A401,C402-C401,"")</f>
        <v>-19.9299999999998</v>
      </c>
      <c r="G402" s="16" t="n">
        <f aca="false">IF(A402=A401,IF(F402&gt;0,F402,0),"")</f>
        <v>0</v>
      </c>
      <c r="H402" s="16" t="n">
        <f aca="false">IF(A402=A401,IF(F402&lt;0,-F402,0),"")</f>
        <v>19.9299999999998</v>
      </c>
    </row>
    <row r="403" customFormat="false" ht="15" hidden="false" customHeight="false" outlineLevel="0" collapsed="false">
      <c r="A403" s="14" t="s">
        <v>90</v>
      </c>
      <c r="B403" s="15" t="n">
        <v>46071</v>
      </c>
      <c r="C403" s="14" t="n">
        <v>3175.33</v>
      </c>
      <c r="D403" s="14" t="n">
        <v>2030314</v>
      </c>
      <c r="E403" s="16" t="n">
        <f aca="false">COUNTIFS($A$2:$A$1561,A403,$B$2:$B$1561,"&gt;"&amp;B403)+1</f>
        <v>119</v>
      </c>
      <c r="F403" s="16" t="n">
        <f aca="false">IF(A403=A402,C403-C402,"")</f>
        <v>-23.1100000000001</v>
      </c>
      <c r="G403" s="16" t="n">
        <f aca="false">IF(A403=A402,IF(F403&gt;0,F403,0),"")</f>
        <v>0</v>
      </c>
      <c r="H403" s="16" t="n">
        <f aca="false">IF(A403=A402,IF(F403&lt;0,-F403,0),"")</f>
        <v>23.1100000000001</v>
      </c>
    </row>
    <row r="404" customFormat="false" ht="15" hidden="false" customHeight="false" outlineLevel="0" collapsed="false">
      <c r="A404" s="14" t="s">
        <v>90</v>
      </c>
      <c r="B404" s="15" t="n">
        <v>46072</v>
      </c>
      <c r="C404" s="14" t="n">
        <v>3160.31</v>
      </c>
      <c r="D404" s="14" t="n">
        <v>931902</v>
      </c>
      <c r="E404" s="16" t="n">
        <f aca="false">COUNTIFS($A$2:$A$1561,A404,$B$2:$B$1561,"&gt;"&amp;B404)+1</f>
        <v>118</v>
      </c>
      <c r="F404" s="16" t="n">
        <f aca="false">IF(A404=A403,C404-C403,"")</f>
        <v>-15.02</v>
      </c>
      <c r="G404" s="16" t="n">
        <f aca="false">IF(A404=A403,IF(F404&gt;0,F404,0),"")</f>
        <v>0</v>
      </c>
      <c r="H404" s="16" t="n">
        <f aca="false">IF(A404=A403,IF(F404&lt;0,-F404,0),"")</f>
        <v>15.02</v>
      </c>
    </row>
    <row r="405" customFormat="false" ht="15" hidden="false" customHeight="false" outlineLevel="0" collapsed="false">
      <c r="A405" s="14" t="s">
        <v>90</v>
      </c>
      <c r="B405" s="15" t="n">
        <v>46073</v>
      </c>
      <c r="C405" s="14" t="n">
        <v>3183.04</v>
      </c>
      <c r="D405" s="14" t="n">
        <v>1157119</v>
      </c>
      <c r="E405" s="16" t="n">
        <f aca="false">COUNTIFS($A$2:$A$1561,A405,$B$2:$B$1561,"&gt;"&amp;B405)+1</f>
        <v>117</v>
      </c>
      <c r="F405" s="16" t="n">
        <f aca="false">IF(A405=A404,C405-C404,"")</f>
        <v>22.73</v>
      </c>
      <c r="G405" s="16" t="n">
        <f aca="false">IF(A405=A404,IF(F405&gt;0,F405,0),"")</f>
        <v>22.73</v>
      </c>
      <c r="H405" s="16" t="n">
        <f aca="false">IF(A405=A404,IF(F405&lt;0,-F405,0),"")</f>
        <v>0</v>
      </c>
    </row>
    <row r="406" customFormat="false" ht="15" hidden="false" customHeight="false" outlineLevel="0" collapsed="false">
      <c r="A406" s="14" t="s">
        <v>90</v>
      </c>
      <c r="B406" s="15" t="n">
        <v>46076</v>
      </c>
      <c r="C406" s="14" t="n">
        <v>3164.57</v>
      </c>
      <c r="D406" s="14" t="n">
        <v>2301062</v>
      </c>
      <c r="E406" s="16" t="n">
        <f aca="false">COUNTIFS($A$2:$A$1561,A406,$B$2:$B$1561,"&gt;"&amp;B406)+1</f>
        <v>116</v>
      </c>
      <c r="F406" s="16" t="n">
        <f aca="false">IF(A406=A405,C406-C405,"")</f>
        <v>-18.4699999999998</v>
      </c>
      <c r="G406" s="16" t="n">
        <f aca="false">IF(A406=A405,IF(F406&gt;0,F406,0),"")</f>
        <v>0</v>
      </c>
      <c r="H406" s="16" t="n">
        <f aca="false">IF(A406=A405,IF(F406&lt;0,-F406,0),"")</f>
        <v>18.4699999999998</v>
      </c>
    </row>
    <row r="407" customFormat="false" ht="15" hidden="false" customHeight="false" outlineLevel="0" collapsed="false">
      <c r="A407" s="14" t="s">
        <v>90</v>
      </c>
      <c r="B407" s="15" t="n">
        <v>46077</v>
      </c>
      <c r="C407" s="14" t="n">
        <v>3137.96</v>
      </c>
      <c r="D407" s="14" t="n">
        <v>2216812</v>
      </c>
      <c r="E407" s="16" t="n">
        <f aca="false">COUNTIFS($A$2:$A$1561,A407,$B$2:$B$1561,"&gt;"&amp;B407)+1</f>
        <v>115</v>
      </c>
      <c r="F407" s="16" t="n">
        <f aca="false">IF(A407=A406,C407-C406,"")</f>
        <v>-26.6100000000001</v>
      </c>
      <c r="G407" s="16" t="n">
        <f aca="false">IF(A407=A406,IF(F407&gt;0,F407,0),"")</f>
        <v>0</v>
      </c>
      <c r="H407" s="16" t="n">
        <f aca="false">IF(A407=A406,IF(F407&lt;0,-F407,0),"")</f>
        <v>26.6100000000001</v>
      </c>
    </row>
    <row r="408" customFormat="false" ht="15" hidden="false" customHeight="false" outlineLevel="0" collapsed="false">
      <c r="A408" s="14" t="s">
        <v>90</v>
      </c>
      <c r="B408" s="15" t="n">
        <v>46078</v>
      </c>
      <c r="C408" s="14" t="n">
        <v>3119.58</v>
      </c>
      <c r="D408" s="14" t="n">
        <v>759984</v>
      </c>
      <c r="E408" s="16" t="n">
        <f aca="false">COUNTIFS($A$2:$A$1561,A408,$B$2:$B$1561,"&gt;"&amp;B408)+1</f>
        <v>114</v>
      </c>
      <c r="F408" s="16" t="n">
        <f aca="false">IF(A408=A407,C408-C407,"")</f>
        <v>-18.3800000000001</v>
      </c>
      <c r="G408" s="16" t="n">
        <f aca="false">IF(A408=A407,IF(F408&gt;0,F408,0),"")</f>
        <v>0</v>
      </c>
      <c r="H408" s="16" t="n">
        <f aca="false">IF(A408=A407,IF(F408&lt;0,-F408,0),"")</f>
        <v>18.3800000000001</v>
      </c>
    </row>
    <row r="409" customFormat="false" ht="15" hidden="false" customHeight="false" outlineLevel="0" collapsed="false">
      <c r="A409" s="14" t="s">
        <v>90</v>
      </c>
      <c r="B409" s="15" t="n">
        <v>46079</v>
      </c>
      <c r="C409" s="14" t="n">
        <v>3107.27</v>
      </c>
      <c r="D409" s="14" t="n">
        <v>848994</v>
      </c>
      <c r="E409" s="16" t="n">
        <f aca="false">COUNTIFS($A$2:$A$1561,A409,$B$2:$B$1561,"&gt;"&amp;B409)+1</f>
        <v>113</v>
      </c>
      <c r="F409" s="16" t="n">
        <f aca="false">IF(A409=A408,C409-C408,"")</f>
        <v>-12.3099999999999</v>
      </c>
      <c r="G409" s="16" t="n">
        <f aca="false">IF(A409=A408,IF(F409&gt;0,F409,0),"")</f>
        <v>0</v>
      </c>
      <c r="H409" s="16" t="n">
        <f aca="false">IF(A409=A408,IF(F409&lt;0,-F409,0),"")</f>
        <v>12.3099999999999</v>
      </c>
    </row>
    <row r="410" customFormat="false" ht="15" hidden="false" customHeight="false" outlineLevel="0" collapsed="false">
      <c r="A410" s="14" t="s">
        <v>90</v>
      </c>
      <c r="B410" s="15" t="n">
        <v>46080</v>
      </c>
      <c r="C410" s="14" t="n">
        <v>3117.95</v>
      </c>
      <c r="D410" s="14" t="n">
        <v>551560</v>
      </c>
      <c r="E410" s="16" t="n">
        <f aca="false">COUNTIFS($A$2:$A$1561,A410,$B$2:$B$1561,"&gt;"&amp;B410)+1</f>
        <v>112</v>
      </c>
      <c r="F410" s="16" t="n">
        <f aca="false">IF(A410=A409,C410-C409,"")</f>
        <v>10.6799999999998</v>
      </c>
      <c r="G410" s="16" t="n">
        <f aca="false">IF(A410=A409,IF(F410&gt;0,F410,0),"")</f>
        <v>10.6799999999998</v>
      </c>
      <c r="H410" s="16" t="n">
        <f aca="false">IF(A410=A409,IF(F410&lt;0,-F410,0),"")</f>
        <v>0</v>
      </c>
    </row>
    <row r="411" customFormat="false" ht="15" hidden="false" customHeight="false" outlineLevel="0" collapsed="false">
      <c r="A411" s="14" t="s">
        <v>90</v>
      </c>
      <c r="B411" s="15" t="n">
        <v>46083</v>
      </c>
      <c r="C411" s="14" t="n">
        <v>3092.41</v>
      </c>
      <c r="D411" s="14" t="n">
        <v>2079969</v>
      </c>
      <c r="E411" s="16" t="n">
        <f aca="false">COUNTIFS($A$2:$A$1561,A411,$B$2:$B$1561,"&gt;"&amp;B411)+1</f>
        <v>111</v>
      </c>
      <c r="F411" s="16" t="n">
        <f aca="false">IF(A411=A410,C411-C410,"")</f>
        <v>-25.54</v>
      </c>
      <c r="G411" s="16" t="n">
        <f aca="false">IF(A411=A410,IF(F411&gt;0,F411,0),"")</f>
        <v>0</v>
      </c>
      <c r="H411" s="16" t="n">
        <f aca="false">IF(A411=A410,IF(F411&lt;0,-F411,0),"")</f>
        <v>25.54</v>
      </c>
    </row>
    <row r="412" customFormat="false" ht="15" hidden="false" customHeight="false" outlineLevel="0" collapsed="false">
      <c r="A412" s="14" t="s">
        <v>90</v>
      </c>
      <c r="B412" s="15" t="n">
        <v>46084</v>
      </c>
      <c r="C412" s="14" t="n">
        <v>3079.49</v>
      </c>
      <c r="D412" s="14" t="n">
        <v>1147542</v>
      </c>
      <c r="E412" s="16" t="n">
        <f aca="false">COUNTIFS($A$2:$A$1561,A412,$B$2:$B$1561,"&gt;"&amp;B412)+1</f>
        <v>110</v>
      </c>
      <c r="F412" s="16" t="n">
        <f aca="false">IF(A412=A411,C412-C411,"")</f>
        <v>-12.9200000000001</v>
      </c>
      <c r="G412" s="16" t="n">
        <f aca="false">IF(A412=A411,IF(F412&gt;0,F412,0),"")</f>
        <v>0</v>
      </c>
      <c r="H412" s="16" t="n">
        <f aca="false">IF(A412=A411,IF(F412&lt;0,-F412,0),"")</f>
        <v>12.9200000000001</v>
      </c>
    </row>
    <row r="413" customFormat="false" ht="15" hidden="false" customHeight="false" outlineLevel="0" collapsed="false">
      <c r="A413" s="14" t="s">
        <v>90</v>
      </c>
      <c r="B413" s="15" t="n">
        <v>46085</v>
      </c>
      <c r="C413" s="14" t="n">
        <v>3063.1</v>
      </c>
      <c r="D413" s="14" t="n">
        <v>604798</v>
      </c>
      <c r="E413" s="16" t="n">
        <f aca="false">COUNTIFS($A$2:$A$1561,A413,$B$2:$B$1561,"&gt;"&amp;B413)+1</f>
        <v>109</v>
      </c>
      <c r="F413" s="16" t="n">
        <f aca="false">IF(A413=A412,C413-C412,"")</f>
        <v>-16.3899999999999</v>
      </c>
      <c r="G413" s="16" t="n">
        <f aca="false">IF(A413=A412,IF(F413&gt;0,F413,0),"")</f>
        <v>0</v>
      </c>
      <c r="H413" s="16" t="n">
        <f aca="false">IF(A413=A412,IF(F413&lt;0,-F413,0),"")</f>
        <v>16.3899999999999</v>
      </c>
    </row>
    <row r="414" customFormat="false" ht="15" hidden="false" customHeight="false" outlineLevel="0" collapsed="false">
      <c r="A414" s="14" t="s">
        <v>90</v>
      </c>
      <c r="B414" s="15" t="n">
        <v>46086</v>
      </c>
      <c r="C414" s="14" t="n">
        <v>3078.08</v>
      </c>
      <c r="D414" s="14" t="n">
        <v>1552171</v>
      </c>
      <c r="E414" s="16" t="n">
        <f aca="false">COUNTIFS($A$2:$A$1561,A414,$B$2:$B$1561,"&gt;"&amp;B414)+1</f>
        <v>108</v>
      </c>
      <c r="F414" s="16" t="n">
        <f aca="false">IF(A414=A413,C414-C413,"")</f>
        <v>14.98</v>
      </c>
      <c r="G414" s="16" t="n">
        <f aca="false">IF(A414=A413,IF(F414&gt;0,F414,0),"")</f>
        <v>14.98</v>
      </c>
      <c r="H414" s="16" t="n">
        <f aca="false">IF(A414=A413,IF(F414&lt;0,-F414,0),"")</f>
        <v>0</v>
      </c>
    </row>
    <row r="415" customFormat="false" ht="15" hidden="false" customHeight="false" outlineLevel="0" collapsed="false">
      <c r="A415" s="14" t="s">
        <v>90</v>
      </c>
      <c r="B415" s="15" t="n">
        <v>46087</v>
      </c>
      <c r="C415" s="14" t="n">
        <v>3093.35</v>
      </c>
      <c r="D415" s="14" t="n">
        <v>1452491</v>
      </c>
      <c r="E415" s="16" t="n">
        <f aca="false">COUNTIFS($A$2:$A$1561,A415,$B$2:$B$1561,"&gt;"&amp;B415)+1</f>
        <v>107</v>
      </c>
      <c r="F415" s="16" t="n">
        <f aca="false">IF(A415=A414,C415-C414,"")</f>
        <v>15.27</v>
      </c>
      <c r="G415" s="16" t="n">
        <f aca="false">IF(A415=A414,IF(F415&gt;0,F415,0),"")</f>
        <v>15.27</v>
      </c>
      <c r="H415" s="16" t="n">
        <f aca="false">IF(A415=A414,IF(F415&lt;0,-F415,0),"")</f>
        <v>0</v>
      </c>
    </row>
    <row r="416" customFormat="false" ht="15" hidden="false" customHeight="false" outlineLevel="0" collapsed="false">
      <c r="A416" s="14" t="s">
        <v>90</v>
      </c>
      <c r="B416" s="15" t="n">
        <v>46090</v>
      </c>
      <c r="C416" s="14" t="n">
        <v>3110.5</v>
      </c>
      <c r="D416" s="14" t="n">
        <v>1526475</v>
      </c>
      <c r="E416" s="16" t="n">
        <f aca="false">COUNTIFS($A$2:$A$1561,A416,$B$2:$B$1561,"&gt;"&amp;B416)+1</f>
        <v>106</v>
      </c>
      <c r="F416" s="16" t="n">
        <f aca="false">IF(A416=A415,C416-C415,"")</f>
        <v>17.1500000000001</v>
      </c>
      <c r="G416" s="16" t="n">
        <f aca="false">IF(A416=A415,IF(F416&gt;0,F416,0),"")</f>
        <v>17.1500000000001</v>
      </c>
      <c r="H416" s="16" t="n">
        <f aca="false">IF(A416=A415,IF(F416&lt;0,-F416,0),"")</f>
        <v>0</v>
      </c>
    </row>
    <row r="417" customFormat="false" ht="15" hidden="false" customHeight="false" outlineLevel="0" collapsed="false">
      <c r="A417" s="14" t="s">
        <v>90</v>
      </c>
      <c r="B417" s="15" t="n">
        <v>46091</v>
      </c>
      <c r="C417" s="14" t="n">
        <v>3090.29</v>
      </c>
      <c r="D417" s="14" t="n">
        <v>1507677</v>
      </c>
      <c r="E417" s="16" t="n">
        <f aca="false">COUNTIFS($A$2:$A$1561,A417,$B$2:$B$1561,"&gt;"&amp;B417)+1</f>
        <v>105</v>
      </c>
      <c r="F417" s="16" t="n">
        <f aca="false">IF(A417=A416,C417-C416,"")</f>
        <v>-20.21</v>
      </c>
      <c r="G417" s="16" t="n">
        <f aca="false">IF(A417=A416,IF(F417&gt;0,F417,0),"")</f>
        <v>0</v>
      </c>
      <c r="H417" s="16" t="n">
        <f aca="false">IF(A417=A416,IF(F417&lt;0,-F417,0),"")</f>
        <v>20.21</v>
      </c>
    </row>
    <row r="418" customFormat="false" ht="15" hidden="false" customHeight="false" outlineLevel="0" collapsed="false">
      <c r="A418" s="14" t="s">
        <v>90</v>
      </c>
      <c r="B418" s="15" t="n">
        <v>46092</v>
      </c>
      <c r="C418" s="14" t="n">
        <v>3116.74</v>
      </c>
      <c r="D418" s="14" t="n">
        <v>586730</v>
      </c>
      <c r="E418" s="16" t="n">
        <f aca="false">COUNTIFS($A$2:$A$1561,A418,$B$2:$B$1561,"&gt;"&amp;B418)+1</f>
        <v>104</v>
      </c>
      <c r="F418" s="16" t="n">
        <f aca="false">IF(A418=A417,C418-C417,"")</f>
        <v>26.4499999999998</v>
      </c>
      <c r="G418" s="16" t="n">
        <f aca="false">IF(A418=A417,IF(F418&gt;0,F418,0),"")</f>
        <v>26.4499999999998</v>
      </c>
      <c r="H418" s="16" t="n">
        <f aca="false">IF(A418=A417,IF(F418&lt;0,-F418,0),"")</f>
        <v>0</v>
      </c>
    </row>
    <row r="419" customFormat="false" ht="15" hidden="false" customHeight="false" outlineLevel="0" collapsed="false">
      <c r="A419" s="14" t="s">
        <v>90</v>
      </c>
      <c r="B419" s="15" t="n">
        <v>46093</v>
      </c>
      <c r="C419" s="14" t="n">
        <v>3134.31</v>
      </c>
      <c r="D419" s="14" t="n">
        <v>2233961</v>
      </c>
      <c r="E419" s="16" t="n">
        <f aca="false">COUNTIFS($A$2:$A$1561,A419,$B$2:$B$1561,"&gt;"&amp;B419)+1</f>
        <v>103</v>
      </c>
      <c r="F419" s="16" t="n">
        <f aca="false">IF(A419=A418,C419-C418,"")</f>
        <v>17.5700000000002</v>
      </c>
      <c r="G419" s="16" t="n">
        <f aca="false">IF(A419=A418,IF(F419&gt;0,F419,0),"")</f>
        <v>17.5700000000002</v>
      </c>
      <c r="H419" s="16" t="n">
        <f aca="false">IF(A419=A418,IF(F419&lt;0,-F419,0),"")</f>
        <v>0</v>
      </c>
    </row>
    <row r="420" customFormat="false" ht="15" hidden="false" customHeight="false" outlineLevel="0" collapsed="false">
      <c r="A420" s="14" t="s">
        <v>90</v>
      </c>
      <c r="B420" s="15" t="n">
        <v>46094</v>
      </c>
      <c r="C420" s="14" t="n">
        <v>3137.21</v>
      </c>
      <c r="D420" s="14" t="n">
        <v>1416085</v>
      </c>
      <c r="E420" s="16" t="n">
        <f aca="false">COUNTIFS($A$2:$A$1561,A420,$B$2:$B$1561,"&gt;"&amp;B420)+1</f>
        <v>102</v>
      </c>
      <c r="F420" s="16" t="n">
        <f aca="false">IF(A420=A419,C420-C419,"")</f>
        <v>2.90000000000009</v>
      </c>
      <c r="G420" s="16" t="n">
        <f aca="false">IF(A420=A419,IF(F420&gt;0,F420,0),"")</f>
        <v>2.90000000000009</v>
      </c>
      <c r="H420" s="16" t="n">
        <f aca="false">IF(A420=A419,IF(F420&lt;0,-F420,0),"")</f>
        <v>0</v>
      </c>
    </row>
    <row r="421" customFormat="false" ht="15" hidden="false" customHeight="false" outlineLevel="0" collapsed="false">
      <c r="A421" s="14" t="s">
        <v>90</v>
      </c>
      <c r="B421" s="15" t="n">
        <v>46097</v>
      </c>
      <c r="C421" s="14" t="n">
        <v>3165.11</v>
      </c>
      <c r="D421" s="14" t="n">
        <v>621650</v>
      </c>
      <c r="E421" s="16" t="n">
        <f aca="false">COUNTIFS($A$2:$A$1561,A421,$B$2:$B$1561,"&gt;"&amp;B421)+1</f>
        <v>101</v>
      </c>
      <c r="F421" s="16" t="n">
        <f aca="false">IF(A421=A420,C421-C420,"")</f>
        <v>27.9000000000001</v>
      </c>
      <c r="G421" s="16" t="n">
        <f aca="false">IF(A421=A420,IF(F421&gt;0,F421,0),"")</f>
        <v>27.9000000000001</v>
      </c>
      <c r="H421" s="16" t="n">
        <f aca="false">IF(A421=A420,IF(F421&lt;0,-F421,0),"")</f>
        <v>0</v>
      </c>
    </row>
    <row r="422" customFormat="false" ht="15" hidden="false" customHeight="false" outlineLevel="0" collapsed="false">
      <c r="A422" s="14" t="s">
        <v>90</v>
      </c>
      <c r="B422" s="15" t="n">
        <v>46098</v>
      </c>
      <c r="C422" s="14" t="n">
        <v>3165.62</v>
      </c>
      <c r="D422" s="14" t="n">
        <v>1303234</v>
      </c>
      <c r="E422" s="16" t="n">
        <f aca="false">COUNTIFS($A$2:$A$1561,A422,$B$2:$B$1561,"&gt;"&amp;B422)+1</f>
        <v>100</v>
      </c>
      <c r="F422" s="16" t="n">
        <f aca="false">IF(A422=A421,C422-C421,"")</f>
        <v>0.509999999999764</v>
      </c>
      <c r="G422" s="16" t="n">
        <f aca="false">IF(A422=A421,IF(F422&gt;0,F422,0),"")</f>
        <v>0.509999999999764</v>
      </c>
      <c r="H422" s="16" t="n">
        <f aca="false">IF(A422=A421,IF(F422&lt;0,-F422,0),"")</f>
        <v>0</v>
      </c>
    </row>
    <row r="423" customFormat="false" ht="15" hidden="false" customHeight="false" outlineLevel="0" collapsed="false">
      <c r="A423" s="14" t="s">
        <v>90</v>
      </c>
      <c r="B423" s="15" t="n">
        <v>46099</v>
      </c>
      <c r="C423" s="14" t="n">
        <v>3177.94</v>
      </c>
      <c r="D423" s="14" t="n">
        <v>1480537</v>
      </c>
      <c r="E423" s="16" t="n">
        <f aca="false">COUNTIFS($A$2:$A$1561,A423,$B$2:$B$1561,"&gt;"&amp;B423)+1</f>
        <v>99</v>
      </c>
      <c r="F423" s="16" t="n">
        <f aca="false">IF(A423=A422,C423-C422,"")</f>
        <v>12.3200000000002</v>
      </c>
      <c r="G423" s="16" t="n">
        <f aca="false">IF(A423=A422,IF(F423&gt;0,F423,0),"")</f>
        <v>12.3200000000002</v>
      </c>
      <c r="H423" s="16" t="n">
        <f aca="false">IF(A423=A422,IF(F423&lt;0,-F423,0),"")</f>
        <v>0</v>
      </c>
    </row>
    <row r="424" customFormat="false" ht="15" hidden="false" customHeight="false" outlineLevel="0" collapsed="false">
      <c r="A424" s="14" t="s">
        <v>90</v>
      </c>
      <c r="B424" s="15" t="n">
        <v>46100</v>
      </c>
      <c r="C424" s="14" t="n">
        <v>3203.09</v>
      </c>
      <c r="D424" s="14" t="n">
        <v>646981</v>
      </c>
      <c r="E424" s="16" t="n">
        <f aca="false">COUNTIFS($A$2:$A$1561,A424,$B$2:$B$1561,"&gt;"&amp;B424)+1</f>
        <v>98</v>
      </c>
      <c r="F424" s="16" t="n">
        <f aca="false">IF(A424=A423,C424-C423,"")</f>
        <v>25.1500000000001</v>
      </c>
      <c r="G424" s="16" t="n">
        <f aca="false">IF(A424=A423,IF(F424&gt;0,F424,0),"")</f>
        <v>25.1500000000001</v>
      </c>
      <c r="H424" s="16" t="n">
        <f aca="false">IF(A424=A423,IF(F424&lt;0,-F424,0),"")</f>
        <v>0</v>
      </c>
    </row>
    <row r="425" customFormat="false" ht="15" hidden="false" customHeight="false" outlineLevel="0" collapsed="false">
      <c r="A425" s="14" t="s">
        <v>90</v>
      </c>
      <c r="B425" s="15" t="n">
        <v>46101</v>
      </c>
      <c r="C425" s="14" t="n">
        <v>3180.65</v>
      </c>
      <c r="D425" s="14" t="n">
        <v>1716594</v>
      </c>
      <c r="E425" s="16" t="n">
        <f aca="false">COUNTIFS($A$2:$A$1561,A425,$B$2:$B$1561,"&gt;"&amp;B425)+1</f>
        <v>97</v>
      </c>
      <c r="F425" s="16" t="n">
        <f aca="false">IF(A425=A424,C425-C424,"")</f>
        <v>-22.4400000000001</v>
      </c>
      <c r="G425" s="16" t="n">
        <f aca="false">IF(A425=A424,IF(F425&gt;0,F425,0),"")</f>
        <v>0</v>
      </c>
      <c r="H425" s="16" t="n">
        <f aca="false">IF(A425=A424,IF(F425&lt;0,-F425,0),"")</f>
        <v>22.4400000000001</v>
      </c>
    </row>
    <row r="426" customFormat="false" ht="15" hidden="false" customHeight="false" outlineLevel="0" collapsed="false">
      <c r="A426" s="14" t="s">
        <v>90</v>
      </c>
      <c r="B426" s="15" t="n">
        <v>46104</v>
      </c>
      <c r="C426" s="14" t="n">
        <v>3157.5</v>
      </c>
      <c r="D426" s="14" t="n">
        <v>1050031</v>
      </c>
      <c r="E426" s="16" t="n">
        <f aca="false">COUNTIFS($A$2:$A$1561,A426,$B$2:$B$1561,"&gt;"&amp;B426)+1</f>
        <v>96</v>
      </c>
      <c r="F426" s="16" t="n">
        <f aca="false">IF(A426=A425,C426-C425,"")</f>
        <v>-23.1500000000001</v>
      </c>
      <c r="G426" s="16" t="n">
        <f aca="false">IF(A426=A425,IF(F426&gt;0,F426,0),"")</f>
        <v>0</v>
      </c>
      <c r="H426" s="16" t="n">
        <f aca="false">IF(A426=A425,IF(F426&lt;0,-F426,0),"")</f>
        <v>23.1500000000001</v>
      </c>
    </row>
    <row r="427" customFormat="false" ht="15" hidden="false" customHeight="false" outlineLevel="0" collapsed="false">
      <c r="A427" s="14" t="s">
        <v>90</v>
      </c>
      <c r="B427" s="15" t="n">
        <v>46105</v>
      </c>
      <c r="C427" s="14" t="n">
        <v>3166.77</v>
      </c>
      <c r="D427" s="14" t="n">
        <v>1596712</v>
      </c>
      <c r="E427" s="16" t="n">
        <f aca="false">COUNTIFS($A$2:$A$1561,A427,$B$2:$B$1561,"&gt;"&amp;B427)+1</f>
        <v>95</v>
      </c>
      <c r="F427" s="16" t="n">
        <f aca="false">IF(A427=A426,C427-C426,"")</f>
        <v>9.26999999999998</v>
      </c>
      <c r="G427" s="16" t="n">
        <f aca="false">IF(A427=A426,IF(F427&gt;0,F427,0),"")</f>
        <v>9.26999999999998</v>
      </c>
      <c r="H427" s="16" t="n">
        <f aca="false">IF(A427=A426,IF(F427&lt;0,-F427,0),"")</f>
        <v>0</v>
      </c>
    </row>
    <row r="428" customFormat="false" ht="15" hidden="false" customHeight="false" outlineLevel="0" collapsed="false">
      <c r="A428" s="14" t="s">
        <v>90</v>
      </c>
      <c r="B428" s="15" t="n">
        <v>46106</v>
      </c>
      <c r="C428" s="14" t="n">
        <v>3158.51</v>
      </c>
      <c r="D428" s="14" t="n">
        <v>2489255</v>
      </c>
      <c r="E428" s="16" t="n">
        <f aca="false">COUNTIFS($A$2:$A$1561,A428,$B$2:$B$1561,"&gt;"&amp;B428)+1</f>
        <v>94</v>
      </c>
      <c r="F428" s="16" t="n">
        <f aca="false">IF(A428=A427,C428-C427,"")</f>
        <v>-8.25999999999976</v>
      </c>
      <c r="G428" s="16" t="n">
        <f aca="false">IF(A428=A427,IF(F428&gt;0,F428,0),"")</f>
        <v>0</v>
      </c>
      <c r="H428" s="16" t="n">
        <f aca="false">IF(A428=A427,IF(F428&lt;0,-F428,0),"")</f>
        <v>8.25999999999976</v>
      </c>
    </row>
    <row r="429" customFormat="false" ht="15" hidden="false" customHeight="false" outlineLevel="0" collapsed="false">
      <c r="A429" s="14" t="s">
        <v>90</v>
      </c>
      <c r="B429" s="15" t="n">
        <v>46107</v>
      </c>
      <c r="C429" s="14" t="n">
        <v>3161.96</v>
      </c>
      <c r="D429" s="14" t="n">
        <v>1407430</v>
      </c>
      <c r="E429" s="16" t="n">
        <f aca="false">COUNTIFS($A$2:$A$1561,A429,$B$2:$B$1561,"&gt;"&amp;B429)+1</f>
        <v>93</v>
      </c>
      <c r="F429" s="16" t="n">
        <f aca="false">IF(A429=A428,C429-C428,"")</f>
        <v>3.44999999999982</v>
      </c>
      <c r="G429" s="16" t="n">
        <f aca="false">IF(A429=A428,IF(F429&gt;0,F429,0),"")</f>
        <v>3.44999999999982</v>
      </c>
      <c r="H429" s="16" t="n">
        <f aca="false">IF(A429=A428,IF(F429&lt;0,-F429,0),"")</f>
        <v>0</v>
      </c>
    </row>
    <row r="430" customFormat="false" ht="15" hidden="false" customHeight="false" outlineLevel="0" collapsed="false">
      <c r="A430" s="14" t="s">
        <v>90</v>
      </c>
      <c r="B430" s="15" t="n">
        <v>46108</v>
      </c>
      <c r="C430" s="14" t="n">
        <v>3169.67</v>
      </c>
      <c r="D430" s="14" t="n">
        <v>698356</v>
      </c>
      <c r="E430" s="16" t="n">
        <f aca="false">COUNTIFS($A$2:$A$1561,A430,$B$2:$B$1561,"&gt;"&amp;B430)+1</f>
        <v>92</v>
      </c>
      <c r="F430" s="16" t="n">
        <f aca="false">IF(A430=A429,C430-C429,"")</f>
        <v>7.71000000000004</v>
      </c>
      <c r="G430" s="16" t="n">
        <f aca="false">IF(A430=A429,IF(F430&gt;0,F430,0),"")</f>
        <v>7.71000000000004</v>
      </c>
      <c r="H430" s="16" t="n">
        <f aca="false">IF(A430=A429,IF(F430&lt;0,-F430,0),"")</f>
        <v>0</v>
      </c>
    </row>
    <row r="431" customFormat="false" ht="15" hidden="false" customHeight="false" outlineLevel="0" collapsed="false">
      <c r="A431" s="14" t="s">
        <v>90</v>
      </c>
      <c r="B431" s="15" t="n">
        <v>46111</v>
      </c>
      <c r="C431" s="14" t="n">
        <v>3182.89</v>
      </c>
      <c r="D431" s="14" t="n">
        <v>2205585</v>
      </c>
      <c r="E431" s="16" t="n">
        <f aca="false">COUNTIFS($A$2:$A$1561,A431,$B$2:$B$1561,"&gt;"&amp;B431)+1</f>
        <v>91</v>
      </c>
      <c r="F431" s="16" t="n">
        <f aca="false">IF(A431=A430,C431-C430,"")</f>
        <v>13.2199999999998</v>
      </c>
      <c r="G431" s="16" t="n">
        <f aca="false">IF(A431=A430,IF(F431&gt;0,F431,0),"")</f>
        <v>13.2199999999998</v>
      </c>
      <c r="H431" s="16" t="n">
        <f aca="false">IF(A431=A430,IF(F431&lt;0,-F431,0),"")</f>
        <v>0</v>
      </c>
    </row>
    <row r="432" customFormat="false" ht="15" hidden="false" customHeight="false" outlineLevel="0" collapsed="false">
      <c r="A432" s="14" t="s">
        <v>90</v>
      </c>
      <c r="B432" s="15" t="n">
        <v>46112</v>
      </c>
      <c r="C432" s="14" t="n">
        <v>3193.25</v>
      </c>
      <c r="D432" s="14" t="n">
        <v>2037925</v>
      </c>
      <c r="E432" s="16" t="n">
        <f aca="false">COUNTIFS($A$2:$A$1561,A432,$B$2:$B$1561,"&gt;"&amp;B432)+1</f>
        <v>90</v>
      </c>
      <c r="F432" s="16" t="n">
        <f aca="false">IF(A432=A431,C432-C431,"")</f>
        <v>10.3600000000001</v>
      </c>
      <c r="G432" s="16" t="n">
        <f aca="false">IF(A432=A431,IF(F432&gt;0,F432,0),"")</f>
        <v>10.3600000000001</v>
      </c>
      <c r="H432" s="16" t="n">
        <f aca="false">IF(A432=A431,IF(F432&lt;0,-F432,0),"")</f>
        <v>0</v>
      </c>
    </row>
    <row r="433" customFormat="false" ht="15" hidden="false" customHeight="false" outlineLevel="0" collapsed="false">
      <c r="A433" s="14" t="s">
        <v>90</v>
      </c>
      <c r="B433" s="15" t="n">
        <v>46113</v>
      </c>
      <c r="C433" s="14" t="n">
        <v>3207.67</v>
      </c>
      <c r="D433" s="14" t="n">
        <v>930046</v>
      </c>
      <c r="E433" s="16" t="n">
        <f aca="false">COUNTIFS($A$2:$A$1561,A433,$B$2:$B$1561,"&gt;"&amp;B433)+1</f>
        <v>89</v>
      </c>
      <c r="F433" s="16" t="n">
        <f aca="false">IF(A433=A432,C433-C432,"")</f>
        <v>14.4200000000001</v>
      </c>
      <c r="G433" s="16" t="n">
        <f aca="false">IF(A433=A432,IF(F433&gt;0,F433,0),"")</f>
        <v>14.4200000000001</v>
      </c>
      <c r="H433" s="16" t="n">
        <f aca="false">IF(A433=A432,IF(F433&lt;0,-F433,0),"")</f>
        <v>0</v>
      </c>
    </row>
    <row r="434" customFormat="false" ht="15" hidden="false" customHeight="false" outlineLevel="0" collapsed="false">
      <c r="A434" s="14" t="s">
        <v>90</v>
      </c>
      <c r="B434" s="15" t="n">
        <v>46114</v>
      </c>
      <c r="C434" s="14" t="n">
        <v>3206.61</v>
      </c>
      <c r="D434" s="14" t="n">
        <v>956987</v>
      </c>
      <c r="E434" s="16" t="n">
        <f aca="false">COUNTIFS($A$2:$A$1561,A434,$B$2:$B$1561,"&gt;"&amp;B434)+1</f>
        <v>88</v>
      </c>
      <c r="F434" s="16" t="n">
        <f aca="false">IF(A434=A433,C434-C433,"")</f>
        <v>-1.05999999999995</v>
      </c>
      <c r="G434" s="16" t="n">
        <f aca="false">IF(A434=A433,IF(F434&gt;0,F434,0),"")</f>
        <v>0</v>
      </c>
      <c r="H434" s="16" t="n">
        <f aca="false">IF(A434=A433,IF(F434&lt;0,-F434,0),"")</f>
        <v>1.05999999999995</v>
      </c>
    </row>
    <row r="435" customFormat="false" ht="15" hidden="false" customHeight="false" outlineLevel="0" collapsed="false">
      <c r="A435" s="14" t="s">
        <v>90</v>
      </c>
      <c r="B435" s="15" t="n">
        <v>46115</v>
      </c>
      <c r="C435" s="14" t="n">
        <v>3199.04</v>
      </c>
      <c r="D435" s="14" t="n">
        <v>1406997</v>
      </c>
      <c r="E435" s="16" t="n">
        <f aca="false">COUNTIFS($A$2:$A$1561,A435,$B$2:$B$1561,"&gt;"&amp;B435)+1</f>
        <v>87</v>
      </c>
      <c r="F435" s="16" t="n">
        <f aca="false">IF(A435=A434,C435-C434,"")</f>
        <v>-7.57000000000016</v>
      </c>
      <c r="G435" s="16" t="n">
        <f aca="false">IF(A435=A434,IF(F435&gt;0,F435,0),"")</f>
        <v>0</v>
      </c>
      <c r="H435" s="16" t="n">
        <f aca="false">IF(A435=A434,IF(F435&lt;0,-F435,0),"")</f>
        <v>7.57000000000016</v>
      </c>
    </row>
    <row r="436" customFormat="false" ht="15" hidden="false" customHeight="false" outlineLevel="0" collapsed="false">
      <c r="A436" s="14" t="s">
        <v>90</v>
      </c>
      <c r="B436" s="15" t="n">
        <v>46118</v>
      </c>
      <c r="C436" s="14" t="n">
        <v>3195.93</v>
      </c>
      <c r="D436" s="14" t="n">
        <v>690171</v>
      </c>
      <c r="E436" s="16" t="n">
        <f aca="false">COUNTIFS($A$2:$A$1561,A436,$B$2:$B$1561,"&gt;"&amp;B436)+1</f>
        <v>86</v>
      </c>
      <c r="F436" s="16" t="n">
        <f aca="false">IF(A436=A435,C436-C435,"")</f>
        <v>-3.11000000000013</v>
      </c>
      <c r="G436" s="16" t="n">
        <f aca="false">IF(A436=A435,IF(F436&gt;0,F436,0),"")</f>
        <v>0</v>
      </c>
      <c r="H436" s="16" t="n">
        <f aca="false">IF(A436=A435,IF(F436&lt;0,-F436,0),"")</f>
        <v>3.11000000000013</v>
      </c>
    </row>
    <row r="437" customFormat="false" ht="15" hidden="false" customHeight="false" outlineLevel="0" collapsed="false">
      <c r="A437" s="14" t="s">
        <v>90</v>
      </c>
      <c r="B437" s="15" t="n">
        <v>46119</v>
      </c>
      <c r="C437" s="14" t="n">
        <v>3193.45</v>
      </c>
      <c r="D437" s="14" t="n">
        <v>1830215</v>
      </c>
      <c r="E437" s="16" t="n">
        <f aca="false">COUNTIFS($A$2:$A$1561,A437,$B$2:$B$1561,"&gt;"&amp;B437)+1</f>
        <v>85</v>
      </c>
      <c r="F437" s="16" t="n">
        <f aca="false">IF(A437=A436,C437-C436,"")</f>
        <v>-2.48000000000002</v>
      </c>
      <c r="G437" s="16" t="n">
        <f aca="false">IF(A437=A436,IF(F437&gt;0,F437,0),"")</f>
        <v>0</v>
      </c>
      <c r="H437" s="16" t="n">
        <f aca="false">IF(A437=A436,IF(F437&lt;0,-F437,0),"")</f>
        <v>2.48000000000002</v>
      </c>
    </row>
    <row r="438" customFormat="false" ht="15" hidden="false" customHeight="false" outlineLevel="0" collapsed="false">
      <c r="A438" s="14" t="s">
        <v>90</v>
      </c>
      <c r="B438" s="15" t="n">
        <v>46120</v>
      </c>
      <c r="C438" s="14" t="n">
        <v>3187.94</v>
      </c>
      <c r="D438" s="14" t="n">
        <v>805277</v>
      </c>
      <c r="E438" s="16" t="n">
        <f aca="false">COUNTIFS($A$2:$A$1561,A438,$B$2:$B$1561,"&gt;"&amp;B438)+1</f>
        <v>84</v>
      </c>
      <c r="F438" s="16" t="n">
        <f aca="false">IF(A438=A437,C438-C437,"")</f>
        <v>-5.50999999999976</v>
      </c>
      <c r="G438" s="16" t="n">
        <f aca="false">IF(A438=A437,IF(F438&gt;0,F438,0),"")</f>
        <v>0</v>
      </c>
      <c r="H438" s="16" t="n">
        <f aca="false">IF(A438=A437,IF(F438&lt;0,-F438,0),"")</f>
        <v>5.50999999999976</v>
      </c>
    </row>
    <row r="439" customFormat="false" ht="15" hidden="false" customHeight="false" outlineLevel="0" collapsed="false">
      <c r="A439" s="14" t="s">
        <v>90</v>
      </c>
      <c r="B439" s="15" t="n">
        <v>46121</v>
      </c>
      <c r="C439" s="14" t="n">
        <v>3213.94</v>
      </c>
      <c r="D439" s="14" t="n">
        <v>634266</v>
      </c>
      <c r="E439" s="16" t="n">
        <f aca="false">COUNTIFS($A$2:$A$1561,A439,$B$2:$B$1561,"&gt;"&amp;B439)+1</f>
        <v>83</v>
      </c>
      <c r="F439" s="16" t="n">
        <f aca="false">IF(A439=A438,C439-C438,"")</f>
        <v>26</v>
      </c>
      <c r="G439" s="16" t="n">
        <f aca="false">IF(A439=A438,IF(F439&gt;0,F439,0),"")</f>
        <v>26</v>
      </c>
      <c r="H439" s="16" t="n">
        <f aca="false">IF(A439=A438,IF(F439&lt;0,-F439,0),"")</f>
        <v>0</v>
      </c>
    </row>
    <row r="440" customFormat="false" ht="15" hidden="false" customHeight="false" outlineLevel="0" collapsed="false">
      <c r="A440" s="14" t="s">
        <v>90</v>
      </c>
      <c r="B440" s="15" t="n">
        <v>46122</v>
      </c>
      <c r="C440" s="14" t="n">
        <v>3234.87</v>
      </c>
      <c r="D440" s="14" t="n">
        <v>686460</v>
      </c>
      <c r="E440" s="16" t="n">
        <f aca="false">COUNTIFS($A$2:$A$1561,A440,$B$2:$B$1561,"&gt;"&amp;B440)+1</f>
        <v>82</v>
      </c>
      <c r="F440" s="16" t="n">
        <f aca="false">IF(A440=A439,C440-C439,"")</f>
        <v>20.9299999999998</v>
      </c>
      <c r="G440" s="16" t="n">
        <f aca="false">IF(A440=A439,IF(F440&gt;0,F440,0),"")</f>
        <v>20.9299999999998</v>
      </c>
      <c r="H440" s="16" t="n">
        <f aca="false">IF(A440=A439,IF(F440&lt;0,-F440,0),"")</f>
        <v>0</v>
      </c>
    </row>
    <row r="441" customFormat="false" ht="15" hidden="false" customHeight="false" outlineLevel="0" collapsed="false">
      <c r="A441" s="14" t="s">
        <v>90</v>
      </c>
      <c r="B441" s="15" t="n">
        <v>46125</v>
      </c>
      <c r="C441" s="14" t="n">
        <v>3213.12</v>
      </c>
      <c r="D441" s="14" t="n">
        <v>1977591</v>
      </c>
      <c r="E441" s="16" t="n">
        <f aca="false">COUNTIFS($A$2:$A$1561,A441,$B$2:$B$1561,"&gt;"&amp;B441)+1</f>
        <v>81</v>
      </c>
      <c r="F441" s="16" t="n">
        <f aca="false">IF(A441=A440,C441-C440,"")</f>
        <v>-21.75</v>
      </c>
      <c r="G441" s="16" t="n">
        <f aca="false">IF(A441=A440,IF(F441&gt;0,F441,0),"")</f>
        <v>0</v>
      </c>
      <c r="H441" s="16" t="n">
        <f aca="false">IF(A441=A440,IF(F441&lt;0,-F441,0),"")</f>
        <v>21.75</v>
      </c>
    </row>
    <row r="442" customFormat="false" ht="15" hidden="false" customHeight="false" outlineLevel="0" collapsed="false">
      <c r="A442" s="14" t="s">
        <v>90</v>
      </c>
      <c r="B442" s="15" t="n">
        <v>46126</v>
      </c>
      <c r="C442" s="14" t="n">
        <v>3232.89</v>
      </c>
      <c r="D442" s="14" t="n">
        <v>1612741</v>
      </c>
      <c r="E442" s="16" t="n">
        <f aca="false">COUNTIFS($A$2:$A$1561,A442,$B$2:$B$1561,"&gt;"&amp;B442)+1</f>
        <v>80</v>
      </c>
      <c r="F442" s="16" t="n">
        <f aca="false">IF(A442=A441,C442-C441,"")</f>
        <v>19.77</v>
      </c>
      <c r="G442" s="16" t="n">
        <f aca="false">IF(A442=A441,IF(F442&gt;0,F442,0),"")</f>
        <v>19.77</v>
      </c>
      <c r="H442" s="16" t="n">
        <f aca="false">IF(A442=A441,IF(F442&lt;0,-F442,0),"")</f>
        <v>0</v>
      </c>
    </row>
    <row r="443" customFormat="false" ht="15" hidden="false" customHeight="false" outlineLevel="0" collapsed="false">
      <c r="A443" s="14" t="s">
        <v>90</v>
      </c>
      <c r="B443" s="15" t="n">
        <v>46127</v>
      </c>
      <c r="C443" s="14" t="n">
        <v>3239.67</v>
      </c>
      <c r="D443" s="14" t="n">
        <v>1623172</v>
      </c>
      <c r="E443" s="16" t="n">
        <f aca="false">COUNTIFS($A$2:$A$1561,A443,$B$2:$B$1561,"&gt;"&amp;B443)+1</f>
        <v>79</v>
      </c>
      <c r="F443" s="16" t="n">
        <f aca="false">IF(A443=A442,C443-C442,"")</f>
        <v>6.7800000000002</v>
      </c>
      <c r="G443" s="16" t="n">
        <f aca="false">IF(A443=A442,IF(F443&gt;0,F443,0),"")</f>
        <v>6.7800000000002</v>
      </c>
      <c r="H443" s="16" t="n">
        <f aca="false">IF(A443=A442,IF(F443&lt;0,-F443,0),"")</f>
        <v>0</v>
      </c>
    </row>
    <row r="444" customFormat="false" ht="15" hidden="false" customHeight="false" outlineLevel="0" collapsed="false">
      <c r="A444" s="14" t="s">
        <v>90</v>
      </c>
      <c r="B444" s="15" t="n">
        <v>46128</v>
      </c>
      <c r="C444" s="14" t="n">
        <v>3231.48</v>
      </c>
      <c r="D444" s="14" t="n">
        <v>744462</v>
      </c>
      <c r="E444" s="16" t="n">
        <f aca="false">COUNTIFS($A$2:$A$1561,A444,$B$2:$B$1561,"&gt;"&amp;B444)+1</f>
        <v>78</v>
      </c>
      <c r="F444" s="16" t="n">
        <f aca="false">IF(A444=A443,C444-C443,"")</f>
        <v>-8.19000000000006</v>
      </c>
      <c r="G444" s="16" t="n">
        <f aca="false">IF(A444=A443,IF(F444&gt;0,F444,0),"")</f>
        <v>0</v>
      </c>
      <c r="H444" s="16" t="n">
        <f aca="false">IF(A444=A443,IF(F444&lt;0,-F444,0),"")</f>
        <v>8.19000000000006</v>
      </c>
    </row>
    <row r="445" customFormat="false" ht="15" hidden="false" customHeight="false" outlineLevel="0" collapsed="false">
      <c r="A445" s="14" t="s">
        <v>90</v>
      </c>
      <c r="B445" s="15" t="n">
        <v>46129</v>
      </c>
      <c r="C445" s="14" t="n">
        <v>3224.71</v>
      </c>
      <c r="D445" s="14" t="n">
        <v>1830681</v>
      </c>
      <c r="E445" s="16" t="n">
        <f aca="false">COUNTIFS($A$2:$A$1561,A445,$B$2:$B$1561,"&gt;"&amp;B445)+1</f>
        <v>77</v>
      </c>
      <c r="F445" s="16" t="n">
        <f aca="false">IF(A445=A444,C445-C444,"")</f>
        <v>-6.76999999999998</v>
      </c>
      <c r="G445" s="16" t="n">
        <f aca="false">IF(A445=A444,IF(F445&gt;0,F445,0),"")</f>
        <v>0</v>
      </c>
      <c r="H445" s="16" t="n">
        <f aca="false">IF(A445=A444,IF(F445&lt;0,-F445,0),"")</f>
        <v>6.76999999999998</v>
      </c>
    </row>
    <row r="446" customFormat="false" ht="15" hidden="false" customHeight="false" outlineLevel="0" collapsed="false">
      <c r="A446" s="14" t="s">
        <v>90</v>
      </c>
      <c r="B446" s="15" t="n">
        <v>46132</v>
      </c>
      <c r="C446" s="14" t="n">
        <v>3240.98</v>
      </c>
      <c r="D446" s="14" t="n">
        <v>2236184</v>
      </c>
      <c r="E446" s="16" t="n">
        <f aca="false">COUNTIFS($A$2:$A$1561,A446,$B$2:$B$1561,"&gt;"&amp;B446)+1</f>
        <v>76</v>
      </c>
      <c r="F446" s="16" t="n">
        <f aca="false">IF(A446=A445,C446-C445,"")</f>
        <v>16.27</v>
      </c>
      <c r="G446" s="16" t="n">
        <f aca="false">IF(A446=A445,IF(F446&gt;0,F446,0),"")</f>
        <v>16.27</v>
      </c>
      <c r="H446" s="16" t="n">
        <f aca="false">IF(A446=A445,IF(F446&lt;0,-F446,0),"")</f>
        <v>0</v>
      </c>
    </row>
    <row r="447" customFormat="false" ht="15" hidden="false" customHeight="false" outlineLevel="0" collapsed="false">
      <c r="A447" s="14" t="s">
        <v>90</v>
      </c>
      <c r="B447" s="15" t="n">
        <v>46133</v>
      </c>
      <c r="C447" s="14" t="n">
        <v>3255.63</v>
      </c>
      <c r="D447" s="14" t="n">
        <v>2436797</v>
      </c>
      <c r="E447" s="16" t="n">
        <f aca="false">COUNTIFS($A$2:$A$1561,A447,$B$2:$B$1561,"&gt;"&amp;B447)+1</f>
        <v>75</v>
      </c>
      <c r="F447" s="16" t="n">
        <f aca="false">IF(A447=A446,C447-C446,"")</f>
        <v>14.6500000000001</v>
      </c>
      <c r="G447" s="16" t="n">
        <f aca="false">IF(A447=A446,IF(F447&gt;0,F447,0),"")</f>
        <v>14.6500000000001</v>
      </c>
      <c r="H447" s="16" t="n">
        <f aca="false">IF(A447=A446,IF(F447&lt;0,-F447,0),"")</f>
        <v>0</v>
      </c>
    </row>
    <row r="448" customFormat="false" ht="15" hidden="false" customHeight="false" outlineLevel="0" collapsed="false">
      <c r="A448" s="14" t="s">
        <v>90</v>
      </c>
      <c r="B448" s="15" t="n">
        <v>46134</v>
      </c>
      <c r="C448" s="14" t="n">
        <v>3263.27</v>
      </c>
      <c r="D448" s="14" t="n">
        <v>1203292</v>
      </c>
      <c r="E448" s="16" t="n">
        <f aca="false">COUNTIFS($A$2:$A$1561,A448,$B$2:$B$1561,"&gt;"&amp;B448)+1</f>
        <v>74</v>
      </c>
      <c r="F448" s="16" t="n">
        <f aca="false">IF(A448=A447,C448-C447,"")</f>
        <v>7.63999999999987</v>
      </c>
      <c r="G448" s="16" t="n">
        <f aca="false">IF(A448=A447,IF(F448&gt;0,F448,0),"")</f>
        <v>7.63999999999987</v>
      </c>
      <c r="H448" s="16" t="n">
        <f aca="false">IF(A448=A447,IF(F448&lt;0,-F448,0),"")</f>
        <v>0</v>
      </c>
    </row>
    <row r="449" customFormat="false" ht="15" hidden="false" customHeight="false" outlineLevel="0" collapsed="false">
      <c r="A449" s="14" t="s">
        <v>90</v>
      </c>
      <c r="B449" s="15" t="n">
        <v>46135</v>
      </c>
      <c r="C449" s="14" t="n">
        <v>3269.61</v>
      </c>
      <c r="D449" s="14" t="n">
        <v>925477</v>
      </c>
      <c r="E449" s="16" t="n">
        <f aca="false">COUNTIFS($A$2:$A$1561,A449,$B$2:$B$1561,"&gt;"&amp;B449)+1</f>
        <v>73</v>
      </c>
      <c r="F449" s="16" t="n">
        <f aca="false">IF(A449=A448,C449-C448,"")</f>
        <v>6.34000000000015</v>
      </c>
      <c r="G449" s="16" t="n">
        <f aca="false">IF(A449=A448,IF(F449&gt;0,F449,0),"")</f>
        <v>6.34000000000015</v>
      </c>
      <c r="H449" s="16" t="n">
        <f aca="false">IF(A449=A448,IF(F449&lt;0,-F449,0),"")</f>
        <v>0</v>
      </c>
    </row>
    <row r="450" customFormat="false" ht="15" hidden="false" customHeight="false" outlineLevel="0" collapsed="false">
      <c r="A450" s="14" t="s">
        <v>90</v>
      </c>
      <c r="B450" s="15" t="n">
        <v>46136</v>
      </c>
      <c r="C450" s="14" t="n">
        <v>3280.6</v>
      </c>
      <c r="D450" s="14" t="n">
        <v>948489</v>
      </c>
      <c r="E450" s="16" t="n">
        <f aca="false">COUNTIFS($A$2:$A$1561,A450,$B$2:$B$1561,"&gt;"&amp;B450)+1</f>
        <v>72</v>
      </c>
      <c r="F450" s="16" t="n">
        <f aca="false">IF(A450=A449,C450-C449,"")</f>
        <v>10.9899999999998</v>
      </c>
      <c r="G450" s="16" t="n">
        <f aca="false">IF(A450=A449,IF(F450&gt;0,F450,0),"")</f>
        <v>10.9899999999998</v>
      </c>
      <c r="H450" s="16" t="n">
        <f aca="false">IF(A450=A449,IF(F450&lt;0,-F450,0),"")</f>
        <v>0</v>
      </c>
    </row>
    <row r="451" customFormat="false" ht="15" hidden="false" customHeight="false" outlineLevel="0" collapsed="false">
      <c r="A451" s="14" t="s">
        <v>90</v>
      </c>
      <c r="B451" s="15" t="n">
        <v>46139</v>
      </c>
      <c r="C451" s="14" t="n">
        <v>3259.23</v>
      </c>
      <c r="D451" s="14" t="n">
        <v>2190746</v>
      </c>
      <c r="E451" s="16" t="n">
        <f aca="false">COUNTIFS($A$2:$A$1561,A451,$B$2:$B$1561,"&gt;"&amp;B451)+1</f>
        <v>71</v>
      </c>
      <c r="F451" s="16" t="n">
        <f aca="false">IF(A451=A450,C451-C450,"")</f>
        <v>-21.3699999999999</v>
      </c>
      <c r="G451" s="16" t="n">
        <f aca="false">IF(A451=A450,IF(F451&gt;0,F451,0),"")</f>
        <v>0</v>
      </c>
      <c r="H451" s="16" t="n">
        <f aca="false">IF(A451=A450,IF(F451&lt;0,-F451,0),"")</f>
        <v>21.3699999999999</v>
      </c>
    </row>
    <row r="452" customFormat="false" ht="15" hidden="false" customHeight="false" outlineLevel="0" collapsed="false">
      <c r="A452" s="14" t="s">
        <v>90</v>
      </c>
      <c r="B452" s="15" t="n">
        <v>46140</v>
      </c>
      <c r="C452" s="14" t="n">
        <v>3253.22</v>
      </c>
      <c r="D452" s="14" t="n">
        <v>2025211</v>
      </c>
      <c r="E452" s="16" t="n">
        <f aca="false">COUNTIFS($A$2:$A$1561,A452,$B$2:$B$1561,"&gt;"&amp;B452)+1</f>
        <v>70</v>
      </c>
      <c r="F452" s="16" t="n">
        <f aca="false">IF(A452=A451,C452-C451,"")</f>
        <v>-6.01000000000022</v>
      </c>
      <c r="G452" s="16" t="n">
        <f aca="false">IF(A452=A451,IF(F452&gt;0,F452,0),"")</f>
        <v>0</v>
      </c>
      <c r="H452" s="16" t="n">
        <f aca="false">IF(A452=A451,IF(F452&lt;0,-F452,0),"")</f>
        <v>6.01000000000022</v>
      </c>
    </row>
    <row r="453" customFormat="false" ht="15" hidden="false" customHeight="false" outlineLevel="0" collapsed="false">
      <c r="A453" s="14" t="s">
        <v>90</v>
      </c>
      <c r="B453" s="15" t="n">
        <v>46141</v>
      </c>
      <c r="C453" s="14" t="n">
        <v>3259.32</v>
      </c>
      <c r="D453" s="14" t="n">
        <v>2114442</v>
      </c>
      <c r="E453" s="16" t="n">
        <f aca="false">COUNTIFS($A$2:$A$1561,A453,$B$2:$B$1561,"&gt;"&amp;B453)+1</f>
        <v>69</v>
      </c>
      <c r="F453" s="16" t="n">
        <f aca="false">IF(A453=A452,C453-C452,"")</f>
        <v>6.10000000000036</v>
      </c>
      <c r="G453" s="16" t="n">
        <f aca="false">IF(A453=A452,IF(F453&gt;0,F453,0),"")</f>
        <v>6.10000000000036</v>
      </c>
      <c r="H453" s="16" t="n">
        <f aca="false">IF(A453=A452,IF(F453&lt;0,-F453,0),"")</f>
        <v>0</v>
      </c>
    </row>
    <row r="454" customFormat="false" ht="15" hidden="false" customHeight="false" outlineLevel="0" collapsed="false">
      <c r="A454" s="14" t="s">
        <v>90</v>
      </c>
      <c r="B454" s="15" t="n">
        <v>46142</v>
      </c>
      <c r="C454" s="14" t="n">
        <v>3281.33</v>
      </c>
      <c r="D454" s="14" t="n">
        <v>2449093</v>
      </c>
      <c r="E454" s="16" t="n">
        <f aca="false">COUNTIFS($A$2:$A$1561,A454,$B$2:$B$1561,"&gt;"&amp;B454)+1</f>
        <v>68</v>
      </c>
      <c r="F454" s="16" t="n">
        <f aca="false">IF(A454=A453,C454-C453,"")</f>
        <v>22.0099999999998</v>
      </c>
      <c r="G454" s="16" t="n">
        <f aca="false">IF(A454=A453,IF(F454&gt;0,F454,0),"")</f>
        <v>22.0099999999998</v>
      </c>
      <c r="H454" s="16" t="n">
        <f aca="false">IF(A454=A453,IF(F454&lt;0,-F454,0),"")</f>
        <v>0</v>
      </c>
    </row>
    <row r="455" customFormat="false" ht="15" hidden="false" customHeight="false" outlineLevel="0" collapsed="false">
      <c r="A455" s="14" t="s">
        <v>90</v>
      </c>
      <c r="B455" s="15" t="n">
        <v>46143</v>
      </c>
      <c r="C455" s="14" t="n">
        <v>3301.91</v>
      </c>
      <c r="D455" s="14" t="n">
        <v>1727146</v>
      </c>
      <c r="E455" s="16" t="n">
        <f aca="false">COUNTIFS($A$2:$A$1561,A455,$B$2:$B$1561,"&gt;"&amp;B455)+1</f>
        <v>67</v>
      </c>
      <c r="F455" s="16" t="n">
        <f aca="false">IF(A455=A454,C455-C454,"")</f>
        <v>20.5799999999999</v>
      </c>
      <c r="G455" s="16" t="n">
        <f aca="false">IF(A455=A454,IF(F455&gt;0,F455,0),"")</f>
        <v>20.5799999999999</v>
      </c>
      <c r="H455" s="16" t="n">
        <f aca="false">IF(A455=A454,IF(F455&lt;0,-F455,0),"")</f>
        <v>0</v>
      </c>
    </row>
    <row r="456" customFormat="false" ht="15" hidden="false" customHeight="false" outlineLevel="0" collapsed="false">
      <c r="A456" s="14" t="s">
        <v>90</v>
      </c>
      <c r="B456" s="15" t="n">
        <v>46146</v>
      </c>
      <c r="C456" s="14" t="n">
        <v>3312.17</v>
      </c>
      <c r="D456" s="14" t="n">
        <v>552507</v>
      </c>
      <c r="E456" s="16" t="n">
        <f aca="false">COUNTIFS($A$2:$A$1561,A456,$B$2:$B$1561,"&gt;"&amp;B456)+1</f>
        <v>66</v>
      </c>
      <c r="F456" s="16" t="n">
        <f aca="false">IF(A456=A455,C456-C455,"")</f>
        <v>10.2600000000002</v>
      </c>
      <c r="G456" s="16" t="n">
        <f aca="false">IF(A456=A455,IF(F456&gt;0,F456,0),"")</f>
        <v>10.2600000000002</v>
      </c>
      <c r="H456" s="16" t="n">
        <f aca="false">IF(A456=A455,IF(F456&lt;0,-F456,0),"")</f>
        <v>0</v>
      </c>
    </row>
    <row r="457" customFormat="false" ht="15" hidden="false" customHeight="false" outlineLevel="0" collapsed="false">
      <c r="A457" s="14" t="s">
        <v>90</v>
      </c>
      <c r="B457" s="15" t="n">
        <v>46147</v>
      </c>
      <c r="C457" s="14" t="n">
        <v>3339.54</v>
      </c>
      <c r="D457" s="14" t="n">
        <v>2158921</v>
      </c>
      <c r="E457" s="16" t="n">
        <f aca="false">COUNTIFS($A$2:$A$1561,A457,$B$2:$B$1561,"&gt;"&amp;B457)+1</f>
        <v>65</v>
      </c>
      <c r="F457" s="16" t="n">
        <f aca="false">IF(A457=A456,C457-C456,"")</f>
        <v>27.3699999999999</v>
      </c>
      <c r="G457" s="16" t="n">
        <f aca="false">IF(A457=A456,IF(F457&gt;0,F457,0),"")</f>
        <v>27.3699999999999</v>
      </c>
      <c r="H457" s="16" t="n">
        <f aca="false">IF(A457=A456,IF(F457&lt;0,-F457,0),"")</f>
        <v>0</v>
      </c>
    </row>
    <row r="458" customFormat="false" ht="15" hidden="false" customHeight="false" outlineLevel="0" collapsed="false">
      <c r="A458" s="14" t="s">
        <v>90</v>
      </c>
      <c r="B458" s="15" t="n">
        <v>46148</v>
      </c>
      <c r="C458" s="14" t="n">
        <v>3327.37</v>
      </c>
      <c r="D458" s="14" t="n">
        <v>860832</v>
      </c>
      <c r="E458" s="16" t="n">
        <f aca="false">COUNTIFS($A$2:$A$1561,A458,$B$2:$B$1561,"&gt;"&amp;B458)+1</f>
        <v>64</v>
      </c>
      <c r="F458" s="16" t="n">
        <f aca="false">IF(A458=A457,C458-C457,"")</f>
        <v>-12.1700000000001</v>
      </c>
      <c r="G458" s="16" t="n">
        <f aca="false">IF(A458=A457,IF(F458&gt;0,F458,0),"")</f>
        <v>0</v>
      </c>
      <c r="H458" s="16" t="n">
        <f aca="false">IF(A458=A457,IF(F458&lt;0,-F458,0),"")</f>
        <v>12.1700000000001</v>
      </c>
    </row>
    <row r="459" customFormat="false" ht="15" hidden="false" customHeight="false" outlineLevel="0" collapsed="false">
      <c r="A459" s="14" t="s">
        <v>90</v>
      </c>
      <c r="B459" s="15" t="n">
        <v>46149</v>
      </c>
      <c r="C459" s="14" t="n">
        <v>3341.3</v>
      </c>
      <c r="D459" s="14" t="n">
        <v>1117969</v>
      </c>
      <c r="E459" s="16" t="n">
        <f aca="false">COUNTIFS($A$2:$A$1561,A459,$B$2:$B$1561,"&gt;"&amp;B459)+1</f>
        <v>63</v>
      </c>
      <c r="F459" s="16" t="n">
        <f aca="false">IF(A459=A458,C459-C458,"")</f>
        <v>13.9300000000003</v>
      </c>
      <c r="G459" s="16" t="n">
        <f aca="false">IF(A459=A458,IF(F459&gt;0,F459,0),"")</f>
        <v>13.9300000000003</v>
      </c>
      <c r="H459" s="16" t="n">
        <f aca="false">IF(A459=A458,IF(F459&lt;0,-F459,0),"")</f>
        <v>0</v>
      </c>
    </row>
    <row r="460" customFormat="false" ht="15" hidden="false" customHeight="false" outlineLevel="0" collapsed="false">
      <c r="A460" s="14" t="s">
        <v>90</v>
      </c>
      <c r="B460" s="15" t="n">
        <v>46150</v>
      </c>
      <c r="C460" s="14" t="n">
        <v>3333.48</v>
      </c>
      <c r="D460" s="14" t="n">
        <v>512211</v>
      </c>
      <c r="E460" s="16" t="n">
        <f aca="false">COUNTIFS($A$2:$A$1561,A460,$B$2:$B$1561,"&gt;"&amp;B460)+1</f>
        <v>62</v>
      </c>
      <c r="F460" s="16" t="n">
        <f aca="false">IF(A460=A459,C460-C459,"")</f>
        <v>-7.82000000000016</v>
      </c>
      <c r="G460" s="16" t="n">
        <f aca="false">IF(A460=A459,IF(F460&gt;0,F460,0),"")</f>
        <v>0</v>
      </c>
      <c r="H460" s="16" t="n">
        <f aca="false">IF(A460=A459,IF(F460&lt;0,-F460,0),"")</f>
        <v>7.82000000000016</v>
      </c>
    </row>
    <row r="461" customFormat="false" ht="15" hidden="false" customHeight="false" outlineLevel="0" collapsed="false">
      <c r="A461" s="14" t="s">
        <v>90</v>
      </c>
      <c r="B461" s="15" t="n">
        <v>46153</v>
      </c>
      <c r="C461" s="14" t="n">
        <v>3357.47</v>
      </c>
      <c r="D461" s="14" t="n">
        <v>1632642</v>
      </c>
      <c r="E461" s="16" t="n">
        <f aca="false">COUNTIFS($A$2:$A$1561,A461,$B$2:$B$1561,"&gt;"&amp;B461)+1</f>
        <v>61</v>
      </c>
      <c r="F461" s="16" t="n">
        <f aca="false">IF(A461=A460,C461-C460,"")</f>
        <v>23.9899999999998</v>
      </c>
      <c r="G461" s="16" t="n">
        <f aca="false">IF(A461=A460,IF(F461&gt;0,F461,0),"")</f>
        <v>23.9899999999998</v>
      </c>
      <c r="H461" s="16" t="n">
        <f aca="false">IF(A461=A460,IF(F461&lt;0,-F461,0),"")</f>
        <v>0</v>
      </c>
    </row>
    <row r="462" customFormat="false" ht="15" hidden="false" customHeight="false" outlineLevel="0" collapsed="false">
      <c r="A462" s="14" t="s">
        <v>90</v>
      </c>
      <c r="B462" s="15" t="n">
        <v>46154</v>
      </c>
      <c r="C462" s="14" t="n">
        <v>3353.29</v>
      </c>
      <c r="D462" s="14" t="n">
        <v>783749</v>
      </c>
      <c r="E462" s="16" t="n">
        <f aca="false">COUNTIFS($A$2:$A$1561,A462,$B$2:$B$1561,"&gt;"&amp;B462)+1</f>
        <v>60</v>
      </c>
      <c r="F462" s="16" t="n">
        <f aca="false">IF(A462=A461,C462-C461,"")</f>
        <v>-4.17999999999984</v>
      </c>
      <c r="G462" s="16" t="n">
        <f aca="false">IF(A462=A461,IF(F462&gt;0,F462,0),"")</f>
        <v>0</v>
      </c>
      <c r="H462" s="16" t="n">
        <f aca="false">IF(A462=A461,IF(F462&lt;0,-F462,0),"")</f>
        <v>4.17999999999984</v>
      </c>
    </row>
    <row r="463" customFormat="false" ht="15" hidden="false" customHeight="false" outlineLevel="0" collapsed="false">
      <c r="A463" s="14" t="s">
        <v>90</v>
      </c>
      <c r="B463" s="15" t="n">
        <v>46155</v>
      </c>
      <c r="C463" s="14" t="n">
        <v>3363.13</v>
      </c>
      <c r="D463" s="14" t="n">
        <v>561314</v>
      </c>
      <c r="E463" s="16" t="n">
        <f aca="false">COUNTIFS($A$2:$A$1561,A463,$B$2:$B$1561,"&gt;"&amp;B463)+1</f>
        <v>59</v>
      </c>
      <c r="F463" s="16" t="n">
        <f aca="false">IF(A463=A462,C463-C462,"")</f>
        <v>9.84000000000015</v>
      </c>
      <c r="G463" s="16" t="n">
        <f aca="false">IF(A463=A462,IF(F463&gt;0,F463,0),"")</f>
        <v>9.84000000000015</v>
      </c>
      <c r="H463" s="16" t="n">
        <f aca="false">IF(A463=A462,IF(F463&lt;0,-F463,0),"")</f>
        <v>0</v>
      </c>
    </row>
    <row r="464" customFormat="false" ht="15" hidden="false" customHeight="false" outlineLevel="0" collapsed="false">
      <c r="A464" s="14" t="s">
        <v>90</v>
      </c>
      <c r="B464" s="15" t="n">
        <v>46156</v>
      </c>
      <c r="C464" s="14" t="n">
        <v>3379.85</v>
      </c>
      <c r="D464" s="14" t="n">
        <v>930265</v>
      </c>
      <c r="E464" s="16" t="n">
        <f aca="false">COUNTIFS($A$2:$A$1561,A464,$B$2:$B$1561,"&gt;"&amp;B464)+1</f>
        <v>58</v>
      </c>
      <c r="F464" s="16" t="n">
        <f aca="false">IF(A464=A463,C464-C463,"")</f>
        <v>16.7199999999998</v>
      </c>
      <c r="G464" s="16" t="n">
        <f aca="false">IF(A464=A463,IF(F464&gt;0,F464,0),"")</f>
        <v>16.7199999999998</v>
      </c>
      <c r="H464" s="16" t="n">
        <f aca="false">IF(A464=A463,IF(F464&lt;0,-F464,0),"")</f>
        <v>0</v>
      </c>
    </row>
    <row r="465" customFormat="false" ht="15" hidden="false" customHeight="false" outlineLevel="0" collapsed="false">
      <c r="A465" s="14" t="s">
        <v>90</v>
      </c>
      <c r="B465" s="15" t="n">
        <v>46157</v>
      </c>
      <c r="C465" s="14" t="n">
        <v>3376.8</v>
      </c>
      <c r="D465" s="14" t="n">
        <v>1181791</v>
      </c>
      <c r="E465" s="16" t="n">
        <f aca="false">COUNTIFS($A$2:$A$1561,A465,$B$2:$B$1561,"&gt;"&amp;B465)+1</f>
        <v>57</v>
      </c>
      <c r="F465" s="16" t="n">
        <f aca="false">IF(A465=A464,C465-C464,"")</f>
        <v>-3.04999999999973</v>
      </c>
      <c r="G465" s="16" t="n">
        <f aca="false">IF(A465=A464,IF(F465&gt;0,F465,0),"")</f>
        <v>0</v>
      </c>
      <c r="H465" s="16" t="n">
        <f aca="false">IF(A465=A464,IF(F465&lt;0,-F465,0),"")</f>
        <v>3.04999999999973</v>
      </c>
    </row>
    <row r="466" customFormat="false" ht="15" hidden="false" customHeight="false" outlineLevel="0" collapsed="false">
      <c r="A466" s="14" t="s">
        <v>90</v>
      </c>
      <c r="B466" s="15" t="n">
        <v>46160</v>
      </c>
      <c r="C466" s="14" t="n">
        <v>3370.72</v>
      </c>
      <c r="D466" s="14" t="n">
        <v>1943191</v>
      </c>
      <c r="E466" s="16" t="n">
        <f aca="false">COUNTIFS($A$2:$A$1561,A466,$B$2:$B$1561,"&gt;"&amp;B466)+1</f>
        <v>56</v>
      </c>
      <c r="F466" s="16" t="n">
        <f aca="false">IF(A466=A465,C466-C465,"")</f>
        <v>-6.08000000000038</v>
      </c>
      <c r="G466" s="16" t="n">
        <f aca="false">IF(A466=A465,IF(F466&gt;0,F466,0),"")</f>
        <v>0</v>
      </c>
      <c r="H466" s="16" t="n">
        <f aca="false">IF(A466=A465,IF(F466&lt;0,-F466,0),"")</f>
        <v>6.08000000000038</v>
      </c>
    </row>
    <row r="467" customFormat="false" ht="15" hidden="false" customHeight="false" outlineLevel="0" collapsed="false">
      <c r="A467" s="14" t="s">
        <v>90</v>
      </c>
      <c r="B467" s="15" t="n">
        <v>46161</v>
      </c>
      <c r="C467" s="14" t="n">
        <v>3389.34</v>
      </c>
      <c r="D467" s="14" t="n">
        <v>1635187</v>
      </c>
      <c r="E467" s="16" t="n">
        <f aca="false">COUNTIFS($A$2:$A$1561,A467,$B$2:$B$1561,"&gt;"&amp;B467)+1</f>
        <v>55</v>
      </c>
      <c r="F467" s="16" t="n">
        <f aca="false">IF(A467=A466,C467-C466,"")</f>
        <v>18.6200000000003</v>
      </c>
      <c r="G467" s="16" t="n">
        <f aca="false">IF(A467=A466,IF(F467&gt;0,F467,0),"")</f>
        <v>18.6200000000003</v>
      </c>
      <c r="H467" s="16" t="n">
        <f aca="false">IF(A467=A466,IF(F467&lt;0,-F467,0),"")</f>
        <v>0</v>
      </c>
    </row>
    <row r="468" customFormat="false" ht="15" hidden="false" customHeight="false" outlineLevel="0" collapsed="false">
      <c r="A468" s="14" t="s">
        <v>90</v>
      </c>
      <c r="B468" s="15" t="n">
        <v>46162</v>
      </c>
      <c r="C468" s="14" t="n">
        <v>3365.85</v>
      </c>
      <c r="D468" s="14" t="n">
        <v>605217</v>
      </c>
      <c r="E468" s="16" t="n">
        <f aca="false">COUNTIFS($A$2:$A$1561,A468,$B$2:$B$1561,"&gt;"&amp;B468)+1</f>
        <v>54</v>
      </c>
      <c r="F468" s="16" t="n">
        <f aca="false">IF(A468=A467,C468-C467,"")</f>
        <v>-23.4900000000002</v>
      </c>
      <c r="G468" s="16" t="n">
        <f aca="false">IF(A468=A467,IF(F468&gt;0,F468,0),"")</f>
        <v>0</v>
      </c>
      <c r="H468" s="16" t="n">
        <f aca="false">IF(A468=A467,IF(F468&lt;0,-F468,0),"")</f>
        <v>23.4900000000002</v>
      </c>
    </row>
    <row r="469" customFormat="false" ht="15" hidden="false" customHeight="false" outlineLevel="0" collapsed="false">
      <c r="A469" s="14" t="s">
        <v>90</v>
      </c>
      <c r="B469" s="15" t="n">
        <v>46163</v>
      </c>
      <c r="C469" s="14" t="n">
        <v>3346.91</v>
      </c>
      <c r="D469" s="14" t="n">
        <v>1735676</v>
      </c>
      <c r="E469" s="16" t="n">
        <f aca="false">COUNTIFS($A$2:$A$1561,A469,$B$2:$B$1561,"&gt;"&amp;B469)+1</f>
        <v>53</v>
      </c>
      <c r="F469" s="16" t="n">
        <f aca="false">IF(A469=A468,C469-C468,"")</f>
        <v>-18.9400000000001</v>
      </c>
      <c r="G469" s="16" t="n">
        <f aca="false">IF(A469=A468,IF(F469&gt;0,F469,0),"")</f>
        <v>0</v>
      </c>
      <c r="H469" s="16" t="n">
        <f aca="false">IF(A469=A468,IF(F469&lt;0,-F469,0),"")</f>
        <v>18.9400000000001</v>
      </c>
    </row>
    <row r="470" customFormat="false" ht="15" hidden="false" customHeight="false" outlineLevel="0" collapsed="false">
      <c r="A470" s="14" t="s">
        <v>90</v>
      </c>
      <c r="B470" s="15" t="n">
        <v>46164</v>
      </c>
      <c r="C470" s="14" t="n">
        <v>3359.2</v>
      </c>
      <c r="D470" s="14" t="n">
        <v>1044205</v>
      </c>
      <c r="E470" s="16" t="n">
        <f aca="false">COUNTIFS($A$2:$A$1561,A470,$B$2:$B$1561,"&gt;"&amp;B470)+1</f>
        <v>52</v>
      </c>
      <c r="F470" s="16" t="n">
        <f aca="false">IF(A470=A469,C470-C469,"")</f>
        <v>12.29</v>
      </c>
      <c r="G470" s="16" t="n">
        <f aca="false">IF(A470=A469,IF(F470&gt;0,F470,0),"")</f>
        <v>12.29</v>
      </c>
      <c r="H470" s="16" t="n">
        <f aca="false">IF(A470=A469,IF(F470&lt;0,-F470,0),"")</f>
        <v>0</v>
      </c>
    </row>
    <row r="471" customFormat="false" ht="15" hidden="false" customHeight="false" outlineLevel="0" collapsed="false">
      <c r="A471" s="14" t="s">
        <v>90</v>
      </c>
      <c r="B471" s="15" t="n">
        <v>46167</v>
      </c>
      <c r="C471" s="14" t="n">
        <v>3370.8</v>
      </c>
      <c r="D471" s="14" t="n">
        <v>1471323</v>
      </c>
      <c r="E471" s="16" t="n">
        <f aca="false">COUNTIFS($A$2:$A$1561,A471,$B$2:$B$1561,"&gt;"&amp;B471)+1</f>
        <v>51</v>
      </c>
      <c r="F471" s="16" t="n">
        <f aca="false">IF(A471=A470,C471-C470,"")</f>
        <v>11.6000000000004</v>
      </c>
      <c r="G471" s="16" t="n">
        <f aca="false">IF(A471=A470,IF(F471&gt;0,F471,0),"")</f>
        <v>11.6000000000004</v>
      </c>
      <c r="H471" s="16" t="n">
        <f aca="false">IF(A471=A470,IF(F471&lt;0,-F471,0),"")</f>
        <v>0</v>
      </c>
    </row>
    <row r="472" customFormat="false" ht="15" hidden="false" customHeight="false" outlineLevel="0" collapsed="false">
      <c r="A472" s="14" t="s">
        <v>90</v>
      </c>
      <c r="B472" s="15" t="n">
        <v>46168</v>
      </c>
      <c r="C472" s="14" t="n">
        <v>3369.11</v>
      </c>
      <c r="D472" s="14" t="n">
        <v>1046333</v>
      </c>
      <c r="E472" s="16" t="n">
        <f aca="false">COUNTIFS($A$2:$A$1561,A472,$B$2:$B$1561,"&gt;"&amp;B472)+1</f>
        <v>50</v>
      </c>
      <c r="F472" s="16" t="n">
        <f aca="false">IF(A472=A471,C472-C471,"")</f>
        <v>-1.69000000000005</v>
      </c>
      <c r="G472" s="16" t="n">
        <f aca="false">IF(A472=A471,IF(F472&gt;0,F472,0),"")</f>
        <v>0</v>
      </c>
      <c r="H472" s="16" t="n">
        <f aca="false">IF(A472=A471,IF(F472&lt;0,-F472,0),"")</f>
        <v>1.69000000000005</v>
      </c>
    </row>
    <row r="473" customFormat="false" ht="15" hidden="false" customHeight="false" outlineLevel="0" collapsed="false">
      <c r="A473" s="14" t="s">
        <v>90</v>
      </c>
      <c r="B473" s="15" t="n">
        <v>46169</v>
      </c>
      <c r="C473" s="14" t="n">
        <v>3386.39</v>
      </c>
      <c r="D473" s="14" t="n">
        <v>727635</v>
      </c>
      <c r="E473" s="16" t="n">
        <f aca="false">COUNTIFS($A$2:$A$1561,A473,$B$2:$B$1561,"&gt;"&amp;B473)+1</f>
        <v>49</v>
      </c>
      <c r="F473" s="16" t="n">
        <f aca="false">IF(A473=A472,C473-C472,"")</f>
        <v>17.2799999999997</v>
      </c>
      <c r="G473" s="16" t="n">
        <f aca="false">IF(A473=A472,IF(F473&gt;0,F473,0),"")</f>
        <v>17.2799999999997</v>
      </c>
      <c r="H473" s="16" t="n">
        <f aca="false">IF(A473=A472,IF(F473&lt;0,-F473,0),"")</f>
        <v>0</v>
      </c>
    </row>
    <row r="474" customFormat="false" ht="15" hidden="false" customHeight="false" outlineLevel="0" collapsed="false">
      <c r="A474" s="14" t="s">
        <v>90</v>
      </c>
      <c r="B474" s="15" t="n">
        <v>46170</v>
      </c>
      <c r="C474" s="14" t="n">
        <v>3383.94</v>
      </c>
      <c r="D474" s="14" t="n">
        <v>1066492</v>
      </c>
      <c r="E474" s="16" t="n">
        <f aca="false">COUNTIFS($A$2:$A$1561,A474,$B$2:$B$1561,"&gt;"&amp;B474)+1</f>
        <v>48</v>
      </c>
      <c r="F474" s="16" t="n">
        <f aca="false">IF(A474=A473,C474-C473,"")</f>
        <v>-2.44999999999982</v>
      </c>
      <c r="G474" s="16" t="n">
        <f aca="false">IF(A474=A473,IF(F474&gt;0,F474,0),"")</f>
        <v>0</v>
      </c>
      <c r="H474" s="16" t="n">
        <f aca="false">IF(A474=A473,IF(F474&lt;0,-F474,0),"")</f>
        <v>2.44999999999982</v>
      </c>
    </row>
    <row r="475" customFormat="false" ht="15" hidden="false" customHeight="false" outlineLevel="0" collapsed="false">
      <c r="A475" s="14" t="s">
        <v>90</v>
      </c>
      <c r="B475" s="15" t="n">
        <v>46171</v>
      </c>
      <c r="C475" s="14" t="n">
        <v>3396.64</v>
      </c>
      <c r="D475" s="14" t="n">
        <v>1473265</v>
      </c>
      <c r="E475" s="16" t="n">
        <f aca="false">COUNTIFS($A$2:$A$1561,A475,$B$2:$B$1561,"&gt;"&amp;B475)+1</f>
        <v>47</v>
      </c>
      <c r="F475" s="16" t="n">
        <f aca="false">IF(A475=A474,C475-C474,"")</f>
        <v>12.6999999999998</v>
      </c>
      <c r="G475" s="16" t="n">
        <f aca="false">IF(A475=A474,IF(F475&gt;0,F475,0),"")</f>
        <v>12.6999999999998</v>
      </c>
      <c r="H475" s="16" t="n">
        <f aca="false">IF(A475=A474,IF(F475&lt;0,-F475,0),"")</f>
        <v>0</v>
      </c>
    </row>
    <row r="476" customFormat="false" ht="15" hidden="false" customHeight="false" outlineLevel="0" collapsed="false">
      <c r="A476" s="14" t="s">
        <v>90</v>
      </c>
      <c r="B476" s="15" t="n">
        <v>46174</v>
      </c>
      <c r="C476" s="14" t="n">
        <v>3408.7</v>
      </c>
      <c r="D476" s="14" t="n">
        <v>590834</v>
      </c>
      <c r="E476" s="16" t="n">
        <f aca="false">COUNTIFS($A$2:$A$1561,A476,$B$2:$B$1561,"&gt;"&amp;B476)+1</f>
        <v>46</v>
      </c>
      <c r="F476" s="16" t="n">
        <f aca="false">IF(A476=A475,C476-C475,"")</f>
        <v>12.0599999999999</v>
      </c>
      <c r="G476" s="16" t="n">
        <f aca="false">IF(A476=A475,IF(F476&gt;0,F476,0),"")</f>
        <v>12.0599999999999</v>
      </c>
      <c r="H476" s="16" t="n">
        <f aca="false">IF(A476=A475,IF(F476&lt;0,-F476,0),"")</f>
        <v>0</v>
      </c>
    </row>
    <row r="477" customFormat="false" ht="15" hidden="false" customHeight="false" outlineLevel="0" collapsed="false">
      <c r="A477" s="14" t="s">
        <v>90</v>
      </c>
      <c r="B477" s="15" t="n">
        <v>46175</v>
      </c>
      <c r="C477" s="14" t="n">
        <v>3404.11</v>
      </c>
      <c r="D477" s="14" t="n">
        <v>1698649</v>
      </c>
      <c r="E477" s="16" t="n">
        <f aca="false">COUNTIFS($A$2:$A$1561,A477,$B$2:$B$1561,"&gt;"&amp;B477)+1</f>
        <v>45</v>
      </c>
      <c r="F477" s="16" t="n">
        <f aca="false">IF(A477=A476,C477-C476,"")</f>
        <v>-4.58999999999969</v>
      </c>
      <c r="G477" s="16" t="n">
        <f aca="false">IF(A477=A476,IF(F477&gt;0,F477,0),"")</f>
        <v>0</v>
      </c>
      <c r="H477" s="16" t="n">
        <f aca="false">IF(A477=A476,IF(F477&lt;0,-F477,0),"")</f>
        <v>4.58999999999969</v>
      </c>
    </row>
    <row r="478" customFormat="false" ht="15" hidden="false" customHeight="false" outlineLevel="0" collapsed="false">
      <c r="A478" s="14" t="s">
        <v>90</v>
      </c>
      <c r="B478" s="15" t="n">
        <v>46176</v>
      </c>
      <c r="C478" s="14" t="n">
        <v>3375.78</v>
      </c>
      <c r="D478" s="14" t="n">
        <v>1102838</v>
      </c>
      <c r="E478" s="16" t="n">
        <f aca="false">COUNTIFS($A$2:$A$1561,A478,$B$2:$B$1561,"&gt;"&amp;B478)+1</f>
        <v>44</v>
      </c>
      <c r="F478" s="16" t="n">
        <f aca="false">IF(A478=A477,C478-C477,"")</f>
        <v>-28.3299999999999</v>
      </c>
      <c r="G478" s="16" t="n">
        <f aca="false">IF(A478=A477,IF(F478&gt;0,F478,0),"")</f>
        <v>0</v>
      </c>
      <c r="H478" s="16" t="n">
        <f aca="false">IF(A478=A477,IF(F478&lt;0,-F478,0),"")</f>
        <v>28.3299999999999</v>
      </c>
    </row>
    <row r="479" customFormat="false" ht="15" hidden="false" customHeight="false" outlineLevel="0" collapsed="false">
      <c r="A479" s="14" t="s">
        <v>90</v>
      </c>
      <c r="B479" s="15" t="n">
        <v>46177</v>
      </c>
      <c r="C479" s="14" t="n">
        <v>3360.06</v>
      </c>
      <c r="D479" s="14" t="n">
        <v>774469</v>
      </c>
      <c r="E479" s="16" t="n">
        <f aca="false">COUNTIFS($A$2:$A$1561,A479,$B$2:$B$1561,"&gt;"&amp;B479)+1</f>
        <v>43</v>
      </c>
      <c r="F479" s="16" t="n">
        <f aca="false">IF(A479=A478,C479-C478,"")</f>
        <v>-15.7200000000003</v>
      </c>
      <c r="G479" s="16" t="n">
        <f aca="false">IF(A479=A478,IF(F479&gt;0,F479,0),"")</f>
        <v>0</v>
      </c>
      <c r="H479" s="16" t="n">
        <f aca="false">IF(A479=A478,IF(F479&lt;0,-F479,0),"")</f>
        <v>15.7200000000003</v>
      </c>
    </row>
    <row r="480" customFormat="false" ht="15" hidden="false" customHeight="false" outlineLevel="0" collapsed="false">
      <c r="A480" s="14" t="s">
        <v>90</v>
      </c>
      <c r="B480" s="15" t="n">
        <v>46178</v>
      </c>
      <c r="C480" s="14" t="n">
        <v>3347.09</v>
      </c>
      <c r="D480" s="14" t="n">
        <v>1156244</v>
      </c>
      <c r="E480" s="16" t="n">
        <f aca="false">COUNTIFS($A$2:$A$1561,A480,$B$2:$B$1561,"&gt;"&amp;B480)+1</f>
        <v>42</v>
      </c>
      <c r="F480" s="16" t="n">
        <f aca="false">IF(A480=A479,C480-C479,"")</f>
        <v>-12.9699999999998</v>
      </c>
      <c r="G480" s="16" t="n">
        <f aca="false">IF(A480=A479,IF(F480&gt;0,F480,0),"")</f>
        <v>0</v>
      </c>
      <c r="H480" s="16" t="n">
        <f aca="false">IF(A480=A479,IF(F480&lt;0,-F480,0),"")</f>
        <v>12.9699999999998</v>
      </c>
    </row>
    <row r="481" customFormat="false" ht="15" hidden="false" customHeight="false" outlineLevel="0" collapsed="false">
      <c r="A481" s="14" t="s">
        <v>90</v>
      </c>
      <c r="B481" s="15" t="n">
        <v>46181</v>
      </c>
      <c r="C481" s="14" t="n">
        <v>3319.24</v>
      </c>
      <c r="D481" s="14" t="n">
        <v>1994028</v>
      </c>
      <c r="E481" s="16" t="n">
        <f aca="false">COUNTIFS($A$2:$A$1561,A481,$B$2:$B$1561,"&gt;"&amp;B481)+1</f>
        <v>41</v>
      </c>
      <c r="F481" s="16" t="n">
        <f aca="false">IF(A481=A480,C481-C480,"")</f>
        <v>-27.8500000000004</v>
      </c>
      <c r="G481" s="16" t="n">
        <f aca="false">IF(A481=A480,IF(F481&gt;0,F481,0),"")</f>
        <v>0</v>
      </c>
      <c r="H481" s="16" t="n">
        <f aca="false">IF(A481=A480,IF(F481&lt;0,-F481,0),"")</f>
        <v>27.8500000000004</v>
      </c>
    </row>
    <row r="482" customFormat="false" ht="15" hidden="false" customHeight="false" outlineLevel="0" collapsed="false">
      <c r="A482" s="14" t="s">
        <v>90</v>
      </c>
      <c r="B482" s="15" t="n">
        <v>46182</v>
      </c>
      <c r="C482" s="14" t="n">
        <v>3301.65</v>
      </c>
      <c r="D482" s="14" t="n">
        <v>1260414</v>
      </c>
      <c r="E482" s="16" t="n">
        <f aca="false">COUNTIFS($A$2:$A$1561,A482,$B$2:$B$1561,"&gt;"&amp;B482)+1</f>
        <v>40</v>
      </c>
      <c r="F482" s="16" t="n">
        <f aca="false">IF(A482=A481,C482-C481,"")</f>
        <v>-17.5899999999997</v>
      </c>
      <c r="G482" s="16" t="n">
        <f aca="false">IF(A482=A481,IF(F482&gt;0,F482,0),"")</f>
        <v>0</v>
      </c>
      <c r="H482" s="16" t="n">
        <f aca="false">IF(A482=A481,IF(F482&lt;0,-F482,0),"")</f>
        <v>17.5899999999997</v>
      </c>
    </row>
    <row r="483" customFormat="false" ht="15" hidden="false" customHeight="false" outlineLevel="0" collapsed="false">
      <c r="A483" s="14" t="s">
        <v>90</v>
      </c>
      <c r="B483" s="15" t="n">
        <v>46183</v>
      </c>
      <c r="C483" s="14" t="n">
        <v>3315.54</v>
      </c>
      <c r="D483" s="14" t="n">
        <v>1500524</v>
      </c>
      <c r="E483" s="16" t="n">
        <f aca="false">COUNTIFS($A$2:$A$1561,A483,$B$2:$B$1561,"&gt;"&amp;B483)+1</f>
        <v>39</v>
      </c>
      <c r="F483" s="16" t="n">
        <f aca="false">IF(A483=A482,C483-C482,"")</f>
        <v>13.8899999999999</v>
      </c>
      <c r="G483" s="16" t="n">
        <f aca="false">IF(A483=A482,IF(F483&gt;0,F483,0),"")</f>
        <v>13.8899999999999</v>
      </c>
      <c r="H483" s="16" t="n">
        <f aca="false">IF(A483=A482,IF(F483&lt;0,-F483,0),"")</f>
        <v>0</v>
      </c>
    </row>
    <row r="484" customFormat="false" ht="15" hidden="false" customHeight="false" outlineLevel="0" collapsed="false">
      <c r="A484" s="14" t="s">
        <v>90</v>
      </c>
      <c r="B484" s="15" t="n">
        <v>46184</v>
      </c>
      <c r="C484" s="14" t="n">
        <v>3337.22</v>
      </c>
      <c r="D484" s="14" t="n">
        <v>2112400</v>
      </c>
      <c r="E484" s="16" t="n">
        <f aca="false">COUNTIFS($A$2:$A$1561,A484,$B$2:$B$1561,"&gt;"&amp;B484)+1</f>
        <v>38</v>
      </c>
      <c r="F484" s="16" t="n">
        <f aca="false">IF(A484=A483,C484-C483,"")</f>
        <v>21.6799999999998</v>
      </c>
      <c r="G484" s="16" t="n">
        <f aca="false">IF(A484=A483,IF(F484&gt;0,F484,0),"")</f>
        <v>21.6799999999998</v>
      </c>
      <c r="H484" s="16" t="n">
        <f aca="false">IF(A484=A483,IF(F484&lt;0,-F484,0),"")</f>
        <v>0</v>
      </c>
    </row>
    <row r="485" customFormat="false" ht="15" hidden="false" customHeight="false" outlineLevel="0" collapsed="false">
      <c r="A485" s="14" t="s">
        <v>90</v>
      </c>
      <c r="B485" s="15" t="n">
        <v>46185</v>
      </c>
      <c r="C485" s="14" t="n">
        <v>3313.32</v>
      </c>
      <c r="D485" s="14" t="n">
        <v>2223528</v>
      </c>
      <c r="E485" s="16" t="n">
        <f aca="false">COUNTIFS($A$2:$A$1561,A485,$B$2:$B$1561,"&gt;"&amp;B485)+1</f>
        <v>37</v>
      </c>
      <c r="F485" s="16" t="n">
        <f aca="false">IF(A485=A484,C485-C484,"")</f>
        <v>-23.8999999999996</v>
      </c>
      <c r="G485" s="16" t="n">
        <f aca="false">IF(A485=A484,IF(F485&gt;0,F485,0),"")</f>
        <v>0</v>
      </c>
      <c r="H485" s="16" t="n">
        <f aca="false">IF(A485=A484,IF(F485&lt;0,-F485,0),"")</f>
        <v>23.8999999999996</v>
      </c>
    </row>
    <row r="486" customFormat="false" ht="15" hidden="false" customHeight="false" outlineLevel="0" collapsed="false">
      <c r="A486" s="14" t="s">
        <v>90</v>
      </c>
      <c r="B486" s="15" t="n">
        <v>46188</v>
      </c>
      <c r="C486" s="14" t="n">
        <v>3287.81</v>
      </c>
      <c r="D486" s="14" t="n">
        <v>537483</v>
      </c>
      <c r="E486" s="16" t="n">
        <f aca="false">COUNTIFS($A$2:$A$1561,A486,$B$2:$B$1561,"&gt;"&amp;B486)+1</f>
        <v>36</v>
      </c>
      <c r="F486" s="16" t="n">
        <f aca="false">IF(A486=A485,C486-C485,"")</f>
        <v>-25.5100000000002</v>
      </c>
      <c r="G486" s="16" t="n">
        <f aca="false">IF(A486=A485,IF(F486&gt;0,F486,0),"")</f>
        <v>0</v>
      </c>
      <c r="H486" s="16" t="n">
        <f aca="false">IF(A486=A485,IF(F486&lt;0,-F486,0),"")</f>
        <v>25.5100000000002</v>
      </c>
    </row>
    <row r="487" customFormat="false" ht="15" hidden="false" customHeight="false" outlineLevel="0" collapsed="false">
      <c r="A487" s="14" t="s">
        <v>90</v>
      </c>
      <c r="B487" s="15" t="n">
        <v>46189</v>
      </c>
      <c r="C487" s="14" t="n">
        <v>3314.51</v>
      </c>
      <c r="D487" s="14" t="n">
        <v>2224220</v>
      </c>
      <c r="E487" s="16" t="n">
        <f aca="false">COUNTIFS($A$2:$A$1561,A487,$B$2:$B$1561,"&gt;"&amp;B487)+1</f>
        <v>35</v>
      </c>
      <c r="F487" s="16" t="n">
        <f aca="false">IF(A487=A486,C487-C486,"")</f>
        <v>26.7000000000003</v>
      </c>
      <c r="G487" s="16" t="n">
        <f aca="false">IF(A487=A486,IF(F487&gt;0,F487,0),"")</f>
        <v>26.7000000000003</v>
      </c>
      <c r="H487" s="16" t="n">
        <f aca="false">IF(A487=A486,IF(F487&lt;0,-F487,0),"")</f>
        <v>0</v>
      </c>
    </row>
    <row r="488" customFormat="false" ht="15" hidden="false" customHeight="false" outlineLevel="0" collapsed="false">
      <c r="A488" s="14" t="s">
        <v>90</v>
      </c>
      <c r="B488" s="15" t="n">
        <v>46190</v>
      </c>
      <c r="C488" s="14" t="n">
        <v>3320.82</v>
      </c>
      <c r="D488" s="14" t="n">
        <v>1646799</v>
      </c>
      <c r="E488" s="16" t="n">
        <f aca="false">COUNTIFS($A$2:$A$1561,A488,$B$2:$B$1561,"&gt;"&amp;B488)+1</f>
        <v>34</v>
      </c>
      <c r="F488" s="16" t="n">
        <f aca="false">IF(A488=A487,C488-C487,"")</f>
        <v>6.30999999999995</v>
      </c>
      <c r="G488" s="16" t="n">
        <f aca="false">IF(A488=A487,IF(F488&gt;0,F488,0),"")</f>
        <v>6.30999999999995</v>
      </c>
      <c r="H488" s="16" t="n">
        <f aca="false">IF(A488=A487,IF(F488&lt;0,-F488,0),"")</f>
        <v>0</v>
      </c>
    </row>
    <row r="489" customFormat="false" ht="15" hidden="false" customHeight="false" outlineLevel="0" collapsed="false">
      <c r="A489" s="14" t="s">
        <v>90</v>
      </c>
      <c r="B489" s="15" t="n">
        <v>46191</v>
      </c>
      <c r="C489" s="14" t="n">
        <v>3335.14</v>
      </c>
      <c r="D489" s="14" t="n">
        <v>1335387</v>
      </c>
      <c r="E489" s="16" t="n">
        <f aca="false">COUNTIFS($A$2:$A$1561,A489,$B$2:$B$1561,"&gt;"&amp;B489)+1</f>
        <v>33</v>
      </c>
      <c r="F489" s="16" t="n">
        <f aca="false">IF(A489=A488,C489-C488,"")</f>
        <v>14.3199999999997</v>
      </c>
      <c r="G489" s="16" t="n">
        <f aca="false">IF(A489=A488,IF(F489&gt;0,F489,0),"")</f>
        <v>14.3199999999997</v>
      </c>
      <c r="H489" s="16" t="n">
        <f aca="false">IF(A489=A488,IF(F489&lt;0,-F489,0),"")</f>
        <v>0</v>
      </c>
    </row>
    <row r="490" customFormat="false" ht="15" hidden="false" customHeight="false" outlineLevel="0" collapsed="false">
      <c r="A490" s="14" t="s">
        <v>90</v>
      </c>
      <c r="B490" s="15" t="n">
        <v>46192</v>
      </c>
      <c r="C490" s="14" t="n">
        <v>3313.84</v>
      </c>
      <c r="D490" s="14" t="n">
        <v>541713</v>
      </c>
      <c r="E490" s="16" t="n">
        <f aca="false">COUNTIFS($A$2:$A$1561,A490,$B$2:$B$1561,"&gt;"&amp;B490)+1</f>
        <v>32</v>
      </c>
      <c r="F490" s="16" t="n">
        <f aca="false">IF(A490=A489,C490-C489,"")</f>
        <v>-21.2999999999997</v>
      </c>
      <c r="G490" s="16" t="n">
        <f aca="false">IF(A490=A489,IF(F490&gt;0,F490,0),"")</f>
        <v>0</v>
      </c>
      <c r="H490" s="16" t="n">
        <f aca="false">IF(A490=A489,IF(F490&lt;0,-F490,0),"")</f>
        <v>21.2999999999997</v>
      </c>
    </row>
    <row r="491" customFormat="false" ht="15" hidden="false" customHeight="false" outlineLevel="0" collapsed="false">
      <c r="A491" s="14" t="s">
        <v>90</v>
      </c>
      <c r="B491" s="15" t="n">
        <v>46195</v>
      </c>
      <c r="C491" s="14" t="n">
        <v>3305.17</v>
      </c>
      <c r="D491" s="14" t="n">
        <v>2102644</v>
      </c>
      <c r="E491" s="16" t="n">
        <f aca="false">COUNTIFS($A$2:$A$1561,A491,$B$2:$B$1561,"&gt;"&amp;B491)+1</f>
        <v>31</v>
      </c>
      <c r="F491" s="16" t="n">
        <f aca="false">IF(A491=A490,C491-C490,"")</f>
        <v>-8.67000000000007</v>
      </c>
      <c r="G491" s="16" t="n">
        <f aca="false">IF(A491=A490,IF(F491&gt;0,F491,0),"")</f>
        <v>0</v>
      </c>
      <c r="H491" s="16" t="n">
        <f aca="false">IF(A491=A490,IF(F491&lt;0,-F491,0),"")</f>
        <v>8.67000000000007</v>
      </c>
    </row>
    <row r="492" customFormat="false" ht="15" hidden="false" customHeight="false" outlineLevel="0" collapsed="false">
      <c r="A492" s="14" t="s">
        <v>90</v>
      </c>
      <c r="B492" s="15" t="n">
        <v>46196</v>
      </c>
      <c r="C492" s="14" t="n">
        <v>3313.99</v>
      </c>
      <c r="D492" s="14" t="n">
        <v>2164051</v>
      </c>
      <c r="E492" s="16" t="n">
        <f aca="false">COUNTIFS($A$2:$A$1561,A492,$B$2:$B$1561,"&gt;"&amp;B492)+1</f>
        <v>30</v>
      </c>
      <c r="F492" s="16" t="n">
        <f aca="false">IF(A492=A491,C492-C491,"")</f>
        <v>8.81999999999971</v>
      </c>
      <c r="G492" s="16" t="n">
        <f aca="false">IF(A492=A491,IF(F492&gt;0,F492,0),"")</f>
        <v>8.81999999999971</v>
      </c>
      <c r="H492" s="16" t="n">
        <f aca="false">IF(A492=A491,IF(F492&lt;0,-F492,0),"")</f>
        <v>0</v>
      </c>
    </row>
    <row r="493" customFormat="false" ht="15" hidden="false" customHeight="false" outlineLevel="0" collapsed="false">
      <c r="A493" s="14" t="s">
        <v>90</v>
      </c>
      <c r="B493" s="15" t="n">
        <v>46197</v>
      </c>
      <c r="C493" s="14" t="n">
        <v>3340.82</v>
      </c>
      <c r="D493" s="14" t="n">
        <v>676259</v>
      </c>
      <c r="E493" s="16" t="n">
        <f aca="false">COUNTIFS($A$2:$A$1561,A493,$B$2:$B$1561,"&gt;"&amp;B493)+1</f>
        <v>29</v>
      </c>
      <c r="F493" s="16" t="n">
        <f aca="false">IF(A493=A492,C493-C492,"")</f>
        <v>26.8300000000004</v>
      </c>
      <c r="G493" s="16" t="n">
        <f aca="false">IF(A493=A492,IF(F493&gt;0,F493,0),"")</f>
        <v>26.8300000000004</v>
      </c>
      <c r="H493" s="16" t="n">
        <f aca="false">IF(A493=A492,IF(F493&lt;0,-F493,0),"")</f>
        <v>0</v>
      </c>
    </row>
    <row r="494" customFormat="false" ht="15" hidden="false" customHeight="false" outlineLevel="0" collapsed="false">
      <c r="A494" s="14" t="s">
        <v>90</v>
      </c>
      <c r="B494" s="15" t="n">
        <v>46198</v>
      </c>
      <c r="C494" s="14" t="n">
        <v>3363.34</v>
      </c>
      <c r="D494" s="14" t="n">
        <v>986632</v>
      </c>
      <c r="E494" s="16" t="n">
        <f aca="false">COUNTIFS($A$2:$A$1561,A494,$B$2:$B$1561,"&gt;"&amp;B494)+1</f>
        <v>28</v>
      </c>
      <c r="F494" s="16" t="n">
        <f aca="false">IF(A494=A493,C494-C493,"")</f>
        <v>22.52</v>
      </c>
      <c r="G494" s="16" t="n">
        <f aca="false">IF(A494=A493,IF(F494&gt;0,F494,0),"")</f>
        <v>22.52</v>
      </c>
      <c r="H494" s="16" t="n">
        <f aca="false">IF(A494=A493,IF(F494&lt;0,-F494,0),"")</f>
        <v>0</v>
      </c>
    </row>
    <row r="495" customFormat="false" ht="15" hidden="false" customHeight="false" outlineLevel="0" collapsed="false">
      <c r="A495" s="14" t="s">
        <v>90</v>
      </c>
      <c r="B495" s="15" t="n">
        <v>46199</v>
      </c>
      <c r="C495" s="14" t="n">
        <v>3370.53</v>
      </c>
      <c r="D495" s="14" t="n">
        <v>1547925</v>
      </c>
      <c r="E495" s="16" t="n">
        <f aca="false">COUNTIFS($A$2:$A$1561,A495,$B$2:$B$1561,"&gt;"&amp;B495)+1</f>
        <v>27</v>
      </c>
      <c r="F495" s="16" t="n">
        <f aca="false">IF(A495=A494,C495-C494,"")</f>
        <v>7.19000000000006</v>
      </c>
      <c r="G495" s="16" t="n">
        <f aca="false">IF(A495=A494,IF(F495&gt;0,F495,0),"")</f>
        <v>7.19000000000006</v>
      </c>
      <c r="H495" s="16" t="n">
        <f aca="false">IF(A495=A494,IF(F495&lt;0,-F495,0),"")</f>
        <v>0</v>
      </c>
    </row>
    <row r="496" customFormat="false" ht="15" hidden="false" customHeight="false" outlineLevel="0" collapsed="false">
      <c r="A496" s="14" t="s">
        <v>90</v>
      </c>
      <c r="B496" s="15" t="n">
        <v>46202</v>
      </c>
      <c r="C496" s="14" t="n">
        <v>3366.03</v>
      </c>
      <c r="D496" s="14" t="n">
        <v>1120549</v>
      </c>
      <c r="E496" s="16" t="n">
        <f aca="false">COUNTIFS($A$2:$A$1561,A496,$B$2:$B$1561,"&gt;"&amp;B496)+1</f>
        <v>26</v>
      </c>
      <c r="F496" s="16" t="n">
        <f aca="false">IF(A496=A495,C496-C495,"")</f>
        <v>-4.5</v>
      </c>
      <c r="G496" s="16" t="n">
        <f aca="false">IF(A496=A495,IF(F496&gt;0,F496,0),"")</f>
        <v>0</v>
      </c>
      <c r="H496" s="16" t="n">
        <f aca="false">IF(A496=A495,IF(F496&lt;0,-F496,0),"")</f>
        <v>4.5</v>
      </c>
    </row>
    <row r="497" customFormat="false" ht="15" hidden="false" customHeight="false" outlineLevel="0" collapsed="false">
      <c r="A497" s="14" t="s">
        <v>90</v>
      </c>
      <c r="B497" s="15" t="n">
        <v>46203</v>
      </c>
      <c r="C497" s="14" t="n">
        <v>3358.12</v>
      </c>
      <c r="D497" s="14" t="n">
        <v>1166137</v>
      </c>
      <c r="E497" s="16" t="n">
        <f aca="false">COUNTIFS($A$2:$A$1561,A497,$B$2:$B$1561,"&gt;"&amp;B497)+1</f>
        <v>25</v>
      </c>
      <c r="F497" s="16" t="n">
        <f aca="false">IF(A497=A496,C497-C496,"")</f>
        <v>-7.91000000000031</v>
      </c>
      <c r="G497" s="16" t="n">
        <f aca="false">IF(A497=A496,IF(F497&gt;0,F497,0),"")</f>
        <v>0</v>
      </c>
      <c r="H497" s="16" t="n">
        <f aca="false">IF(A497=A496,IF(F497&lt;0,-F497,0),"")</f>
        <v>7.91000000000031</v>
      </c>
    </row>
    <row r="498" customFormat="false" ht="15" hidden="false" customHeight="false" outlineLevel="0" collapsed="false">
      <c r="A498" s="14" t="s">
        <v>90</v>
      </c>
      <c r="B498" s="15" t="n">
        <v>46204</v>
      </c>
      <c r="C498" s="14" t="n">
        <v>3339.88</v>
      </c>
      <c r="D498" s="14" t="n">
        <v>1520966</v>
      </c>
      <c r="E498" s="16" t="n">
        <f aca="false">COUNTIFS($A$2:$A$1561,A498,$B$2:$B$1561,"&gt;"&amp;B498)+1</f>
        <v>24</v>
      </c>
      <c r="F498" s="16" t="n">
        <f aca="false">IF(A498=A497,C498-C497,"")</f>
        <v>-18.2399999999998</v>
      </c>
      <c r="G498" s="16" t="n">
        <f aca="false">IF(A498=A497,IF(F498&gt;0,F498,0),"")</f>
        <v>0</v>
      </c>
      <c r="H498" s="16" t="n">
        <f aca="false">IF(A498=A497,IF(F498&lt;0,-F498,0),"")</f>
        <v>18.2399999999998</v>
      </c>
    </row>
    <row r="499" customFormat="false" ht="15" hidden="false" customHeight="false" outlineLevel="0" collapsed="false">
      <c r="A499" s="14" t="s">
        <v>90</v>
      </c>
      <c r="B499" s="15" t="n">
        <v>46205</v>
      </c>
      <c r="C499" s="14" t="n">
        <v>3318.48</v>
      </c>
      <c r="D499" s="14" t="n">
        <v>1519904</v>
      </c>
      <c r="E499" s="16" t="n">
        <f aca="false">COUNTIFS($A$2:$A$1561,A499,$B$2:$B$1561,"&gt;"&amp;B499)+1</f>
        <v>23</v>
      </c>
      <c r="F499" s="16" t="n">
        <f aca="false">IF(A499=A498,C499-C498,"")</f>
        <v>-21.4000000000001</v>
      </c>
      <c r="G499" s="16" t="n">
        <f aca="false">IF(A499=A498,IF(F499&gt;0,F499,0),"")</f>
        <v>0</v>
      </c>
      <c r="H499" s="16" t="n">
        <f aca="false">IF(A499=A498,IF(F499&lt;0,-F499,0),"")</f>
        <v>21.4000000000001</v>
      </c>
    </row>
    <row r="500" customFormat="false" ht="15" hidden="false" customHeight="false" outlineLevel="0" collapsed="false">
      <c r="A500" s="14" t="s">
        <v>90</v>
      </c>
      <c r="B500" s="15" t="n">
        <v>46206</v>
      </c>
      <c r="C500" s="14" t="n">
        <v>3344.51</v>
      </c>
      <c r="D500" s="14" t="n">
        <v>1198750</v>
      </c>
      <c r="E500" s="16" t="n">
        <f aca="false">COUNTIFS($A$2:$A$1561,A500,$B$2:$B$1561,"&gt;"&amp;B500)+1</f>
        <v>22</v>
      </c>
      <c r="F500" s="16" t="n">
        <f aca="false">IF(A500=A499,C500-C499,"")</f>
        <v>26.0300000000002</v>
      </c>
      <c r="G500" s="16" t="n">
        <f aca="false">IF(A500=A499,IF(F500&gt;0,F500,0),"")</f>
        <v>26.0300000000002</v>
      </c>
      <c r="H500" s="16" t="n">
        <f aca="false">IF(A500=A499,IF(F500&lt;0,-F500,0),"")</f>
        <v>0</v>
      </c>
    </row>
    <row r="501" customFormat="false" ht="15" hidden="false" customHeight="false" outlineLevel="0" collapsed="false">
      <c r="A501" s="14" t="s">
        <v>90</v>
      </c>
      <c r="B501" s="15" t="n">
        <v>46209</v>
      </c>
      <c r="C501" s="14" t="n">
        <v>3360.01</v>
      </c>
      <c r="D501" s="14" t="n">
        <v>2137897</v>
      </c>
      <c r="E501" s="16" t="n">
        <f aca="false">COUNTIFS($A$2:$A$1561,A501,$B$2:$B$1561,"&gt;"&amp;B501)+1</f>
        <v>21</v>
      </c>
      <c r="F501" s="16" t="n">
        <f aca="false">IF(A501=A500,C501-C500,"")</f>
        <v>15.5</v>
      </c>
      <c r="G501" s="16" t="n">
        <f aca="false">IF(A501=A500,IF(F501&gt;0,F501,0),"")</f>
        <v>15.5</v>
      </c>
      <c r="H501" s="16" t="n">
        <f aca="false">IF(A501=A500,IF(F501&lt;0,-F501,0),"")</f>
        <v>0</v>
      </c>
    </row>
    <row r="502" customFormat="false" ht="15" hidden="false" customHeight="false" outlineLevel="0" collapsed="false">
      <c r="A502" s="14" t="s">
        <v>90</v>
      </c>
      <c r="B502" s="15" t="n">
        <v>46210</v>
      </c>
      <c r="C502" s="14" t="n">
        <v>3380.88</v>
      </c>
      <c r="D502" s="14" t="n">
        <v>972537</v>
      </c>
      <c r="E502" s="16" t="n">
        <f aca="false">COUNTIFS($A$2:$A$1561,A502,$B$2:$B$1561,"&gt;"&amp;B502)+1</f>
        <v>20</v>
      </c>
      <c r="F502" s="16" t="n">
        <f aca="false">IF(A502=A501,C502-C501,"")</f>
        <v>20.8699999999999</v>
      </c>
      <c r="G502" s="16" t="n">
        <f aca="false">IF(A502=A501,IF(F502&gt;0,F502,0),"")</f>
        <v>20.8699999999999</v>
      </c>
      <c r="H502" s="16" t="n">
        <f aca="false">IF(A502=A501,IF(F502&lt;0,-F502,0),"")</f>
        <v>0</v>
      </c>
    </row>
    <row r="503" customFormat="false" ht="15" hidden="false" customHeight="false" outlineLevel="0" collapsed="false">
      <c r="A503" s="14" t="s">
        <v>90</v>
      </c>
      <c r="B503" s="15" t="n">
        <v>46211</v>
      </c>
      <c r="C503" s="14" t="n">
        <v>3361.19</v>
      </c>
      <c r="D503" s="14" t="n">
        <v>894543</v>
      </c>
      <c r="E503" s="16" t="n">
        <f aca="false">COUNTIFS($A$2:$A$1561,A503,$B$2:$B$1561,"&gt;"&amp;B503)+1</f>
        <v>19</v>
      </c>
      <c r="F503" s="16" t="n">
        <f aca="false">IF(A503=A502,C503-C502,"")</f>
        <v>-19.6900000000001</v>
      </c>
      <c r="G503" s="16" t="n">
        <f aca="false">IF(A503=A502,IF(F503&gt;0,F503,0),"")</f>
        <v>0</v>
      </c>
      <c r="H503" s="16" t="n">
        <f aca="false">IF(A503=A502,IF(F503&lt;0,-F503,0),"")</f>
        <v>19.6900000000001</v>
      </c>
    </row>
    <row r="504" customFormat="false" ht="15" hidden="false" customHeight="false" outlineLevel="0" collapsed="false">
      <c r="A504" s="14" t="s">
        <v>90</v>
      </c>
      <c r="B504" s="15" t="n">
        <v>46212</v>
      </c>
      <c r="C504" s="14" t="n">
        <v>3369.2</v>
      </c>
      <c r="D504" s="14" t="n">
        <v>2020430</v>
      </c>
      <c r="E504" s="16" t="n">
        <f aca="false">COUNTIFS($A$2:$A$1561,A504,$B$2:$B$1561,"&gt;"&amp;B504)+1</f>
        <v>18</v>
      </c>
      <c r="F504" s="16" t="n">
        <f aca="false">IF(A504=A503,C504-C503,"")</f>
        <v>8.00999999999976</v>
      </c>
      <c r="G504" s="16" t="n">
        <f aca="false">IF(A504=A503,IF(F504&gt;0,F504,0),"")</f>
        <v>8.00999999999976</v>
      </c>
      <c r="H504" s="16" t="n">
        <f aca="false">IF(A504=A503,IF(F504&lt;0,-F504,0),"")</f>
        <v>0</v>
      </c>
    </row>
    <row r="505" customFormat="false" ht="15" hidden="false" customHeight="false" outlineLevel="0" collapsed="false">
      <c r="A505" s="14" t="s">
        <v>90</v>
      </c>
      <c r="B505" s="15" t="n">
        <v>46213</v>
      </c>
      <c r="C505" s="14" t="n">
        <v>3380.45</v>
      </c>
      <c r="D505" s="14" t="n">
        <v>854292</v>
      </c>
      <c r="E505" s="16" t="n">
        <f aca="false">COUNTIFS($A$2:$A$1561,A505,$B$2:$B$1561,"&gt;"&amp;B505)+1</f>
        <v>17</v>
      </c>
      <c r="F505" s="16" t="n">
        <f aca="false">IF(A505=A504,C505-C504,"")</f>
        <v>11.25</v>
      </c>
      <c r="G505" s="16" t="n">
        <f aca="false">IF(A505=A504,IF(F505&gt;0,F505,0),"")</f>
        <v>11.25</v>
      </c>
      <c r="H505" s="16" t="n">
        <f aca="false">IF(A505=A504,IF(F505&lt;0,-F505,0),"")</f>
        <v>0</v>
      </c>
    </row>
    <row r="506" customFormat="false" ht="15" hidden="false" customHeight="false" outlineLevel="0" collapsed="false">
      <c r="A506" s="14" t="s">
        <v>90</v>
      </c>
      <c r="B506" s="15" t="n">
        <v>46216</v>
      </c>
      <c r="C506" s="14" t="n">
        <v>3398.88</v>
      </c>
      <c r="D506" s="14" t="n">
        <v>1488234</v>
      </c>
      <c r="E506" s="16" t="n">
        <f aca="false">COUNTIFS($A$2:$A$1561,A506,$B$2:$B$1561,"&gt;"&amp;B506)+1</f>
        <v>16</v>
      </c>
      <c r="F506" s="16" t="n">
        <f aca="false">IF(A506=A505,C506-C505,"")</f>
        <v>18.4300000000003</v>
      </c>
      <c r="G506" s="16" t="n">
        <f aca="false">IF(A506=A505,IF(F506&gt;0,F506,0),"")</f>
        <v>18.4300000000003</v>
      </c>
      <c r="H506" s="16" t="n">
        <f aca="false">IF(A506=A505,IF(F506&lt;0,-F506,0),"")</f>
        <v>0</v>
      </c>
    </row>
    <row r="507" customFormat="false" ht="15" hidden="false" customHeight="false" outlineLevel="0" collapsed="false">
      <c r="A507" s="14" t="s">
        <v>90</v>
      </c>
      <c r="B507" s="15" t="n">
        <v>46217</v>
      </c>
      <c r="C507" s="14" t="n">
        <v>3416.28</v>
      </c>
      <c r="D507" s="14" t="n">
        <v>2019754</v>
      </c>
      <c r="E507" s="16" t="n">
        <f aca="false">COUNTIFS($A$2:$A$1561,A507,$B$2:$B$1561,"&gt;"&amp;B507)+1</f>
        <v>15</v>
      </c>
      <c r="F507" s="16" t="n">
        <f aca="false">IF(A507=A506,C507-C506,"")</f>
        <v>17.4000000000001</v>
      </c>
      <c r="G507" s="16" t="n">
        <f aca="false">IF(A507=A506,IF(F507&gt;0,F507,0),"")</f>
        <v>17.4000000000001</v>
      </c>
      <c r="H507" s="16" t="n">
        <f aca="false">IF(A507=A506,IF(F507&lt;0,-F507,0),"")</f>
        <v>0</v>
      </c>
    </row>
    <row r="508" customFormat="false" ht="15" hidden="false" customHeight="false" outlineLevel="0" collapsed="false">
      <c r="A508" s="14" t="s">
        <v>90</v>
      </c>
      <c r="B508" s="15" t="n">
        <v>46218</v>
      </c>
      <c r="C508" s="14" t="n">
        <v>3414.98</v>
      </c>
      <c r="D508" s="14" t="n">
        <v>2348308</v>
      </c>
      <c r="E508" s="16" t="n">
        <f aca="false">COUNTIFS($A$2:$A$1561,A508,$B$2:$B$1561,"&gt;"&amp;B508)+1</f>
        <v>14</v>
      </c>
      <c r="F508" s="16" t="n">
        <f aca="false">IF(A508=A507,C508-C507,"")</f>
        <v>-1.30000000000018</v>
      </c>
      <c r="G508" s="16" t="n">
        <f aca="false">IF(A508=A507,IF(F508&gt;0,F508,0),"")</f>
        <v>0</v>
      </c>
      <c r="H508" s="16" t="n">
        <f aca="false">IF(A508=A507,IF(F508&lt;0,-F508,0),"")</f>
        <v>1.30000000000018</v>
      </c>
    </row>
    <row r="509" customFormat="false" ht="15" hidden="false" customHeight="false" outlineLevel="0" collapsed="false">
      <c r="A509" s="14" t="s">
        <v>90</v>
      </c>
      <c r="B509" s="15" t="n">
        <v>46219</v>
      </c>
      <c r="C509" s="14" t="n">
        <v>3420.79</v>
      </c>
      <c r="D509" s="14" t="n">
        <v>1770596</v>
      </c>
      <c r="E509" s="16" t="n">
        <f aca="false">COUNTIFS($A$2:$A$1561,A509,$B$2:$B$1561,"&gt;"&amp;B509)+1</f>
        <v>13</v>
      </c>
      <c r="F509" s="16" t="n">
        <f aca="false">IF(A509=A508,C509-C508,"")</f>
        <v>5.80999999999995</v>
      </c>
      <c r="G509" s="16" t="n">
        <f aca="false">IF(A509=A508,IF(F509&gt;0,F509,0),"")</f>
        <v>5.80999999999995</v>
      </c>
      <c r="H509" s="16" t="n">
        <f aca="false">IF(A509=A508,IF(F509&lt;0,-F509,0),"")</f>
        <v>0</v>
      </c>
    </row>
    <row r="510" customFormat="false" ht="15" hidden="false" customHeight="false" outlineLevel="0" collapsed="false">
      <c r="A510" s="14" t="s">
        <v>90</v>
      </c>
      <c r="B510" s="15" t="n">
        <v>46220</v>
      </c>
      <c r="C510" s="14" t="n">
        <v>3430.3</v>
      </c>
      <c r="D510" s="14" t="n">
        <v>2228493</v>
      </c>
      <c r="E510" s="16" t="n">
        <f aca="false">COUNTIFS($A$2:$A$1561,A510,$B$2:$B$1561,"&gt;"&amp;B510)+1</f>
        <v>12</v>
      </c>
      <c r="F510" s="16" t="n">
        <f aca="false">IF(A510=A509,C510-C509,"")</f>
        <v>9.51000000000022</v>
      </c>
      <c r="G510" s="16" t="n">
        <f aca="false">IF(A510=A509,IF(F510&gt;0,F510,0),"")</f>
        <v>9.51000000000022</v>
      </c>
      <c r="H510" s="16" t="n">
        <f aca="false">IF(A510=A509,IF(F510&lt;0,-F510,0),"")</f>
        <v>0</v>
      </c>
    </row>
    <row r="511" customFormat="false" ht="15" hidden="false" customHeight="false" outlineLevel="0" collapsed="false">
      <c r="A511" s="14" t="s">
        <v>90</v>
      </c>
      <c r="B511" s="15" t="n">
        <v>46223</v>
      </c>
      <c r="C511" s="14" t="n">
        <v>3440.01</v>
      </c>
      <c r="D511" s="14" t="n">
        <v>801914</v>
      </c>
      <c r="E511" s="16" t="n">
        <f aca="false">COUNTIFS($A$2:$A$1561,A511,$B$2:$B$1561,"&gt;"&amp;B511)+1</f>
        <v>11</v>
      </c>
      <c r="F511" s="16" t="n">
        <f aca="false">IF(A511=A510,C511-C510,"")</f>
        <v>9.71000000000004</v>
      </c>
      <c r="G511" s="16" t="n">
        <f aca="false">IF(A511=A510,IF(F511&gt;0,F511,0),"")</f>
        <v>9.71000000000004</v>
      </c>
      <c r="H511" s="16" t="n">
        <f aca="false">IF(A511=A510,IF(F511&lt;0,-F511,0),"")</f>
        <v>0</v>
      </c>
    </row>
    <row r="512" customFormat="false" ht="15" hidden="false" customHeight="false" outlineLevel="0" collapsed="false">
      <c r="A512" s="14" t="s">
        <v>90</v>
      </c>
      <c r="B512" s="15" t="n">
        <v>46224</v>
      </c>
      <c r="C512" s="14" t="n">
        <v>3415.14</v>
      </c>
      <c r="D512" s="14" t="n">
        <v>1384416</v>
      </c>
      <c r="E512" s="16" t="n">
        <f aca="false">COUNTIFS($A$2:$A$1561,A512,$B$2:$B$1561,"&gt;"&amp;B512)+1</f>
        <v>10</v>
      </c>
      <c r="F512" s="16" t="n">
        <f aca="false">IF(A512=A511,C512-C511,"")</f>
        <v>-24.8700000000003</v>
      </c>
      <c r="G512" s="16" t="n">
        <f aca="false">IF(A512=A511,IF(F512&gt;0,F512,0),"")</f>
        <v>0</v>
      </c>
      <c r="H512" s="16" t="n">
        <f aca="false">IF(A512=A511,IF(F512&lt;0,-F512,0),"")</f>
        <v>24.8700000000003</v>
      </c>
    </row>
    <row r="513" customFormat="false" ht="15" hidden="false" customHeight="false" outlineLevel="0" collapsed="false">
      <c r="A513" s="14" t="s">
        <v>90</v>
      </c>
      <c r="B513" s="15" t="n">
        <v>46225</v>
      </c>
      <c r="C513" s="14" t="n">
        <v>3404.86</v>
      </c>
      <c r="D513" s="14" t="n">
        <v>1049347</v>
      </c>
      <c r="E513" s="16" t="n">
        <f aca="false">COUNTIFS($A$2:$A$1561,A513,$B$2:$B$1561,"&gt;"&amp;B513)+1</f>
        <v>9</v>
      </c>
      <c r="F513" s="16" t="n">
        <f aca="false">IF(A513=A512,C513-C512,"")</f>
        <v>-10.2799999999997</v>
      </c>
      <c r="G513" s="16" t="n">
        <f aca="false">IF(A513=A512,IF(F513&gt;0,F513,0),"")</f>
        <v>0</v>
      </c>
      <c r="H513" s="16" t="n">
        <f aca="false">IF(A513=A512,IF(F513&lt;0,-F513,0),"")</f>
        <v>10.2799999999997</v>
      </c>
    </row>
    <row r="514" customFormat="false" ht="15" hidden="false" customHeight="false" outlineLevel="0" collapsed="false">
      <c r="A514" s="14" t="s">
        <v>90</v>
      </c>
      <c r="B514" s="15" t="n">
        <v>46226</v>
      </c>
      <c r="C514" s="14" t="n">
        <v>3379.5</v>
      </c>
      <c r="D514" s="14" t="n">
        <v>1514673</v>
      </c>
      <c r="E514" s="16" t="n">
        <f aca="false">COUNTIFS($A$2:$A$1561,A514,$B$2:$B$1561,"&gt;"&amp;B514)+1</f>
        <v>8</v>
      </c>
      <c r="F514" s="16" t="n">
        <f aca="false">IF(A514=A513,C514-C513,"")</f>
        <v>-25.3600000000001</v>
      </c>
      <c r="G514" s="16" t="n">
        <f aca="false">IF(A514=A513,IF(F514&gt;0,F514,0),"")</f>
        <v>0</v>
      </c>
      <c r="H514" s="16" t="n">
        <f aca="false">IF(A514=A513,IF(F514&lt;0,-F514,0),"")</f>
        <v>25.3600000000001</v>
      </c>
    </row>
    <row r="515" customFormat="false" ht="15" hidden="false" customHeight="false" outlineLevel="0" collapsed="false">
      <c r="A515" s="14" t="s">
        <v>90</v>
      </c>
      <c r="B515" s="15" t="n">
        <v>46227</v>
      </c>
      <c r="C515" s="14" t="n">
        <v>3369.79</v>
      </c>
      <c r="D515" s="14" t="n">
        <v>1403827</v>
      </c>
      <c r="E515" s="16" t="n">
        <f aca="false">COUNTIFS($A$2:$A$1561,A515,$B$2:$B$1561,"&gt;"&amp;B515)+1</f>
        <v>7</v>
      </c>
      <c r="F515" s="16" t="n">
        <f aca="false">IF(A515=A514,C515-C514,"")</f>
        <v>-9.71000000000004</v>
      </c>
      <c r="G515" s="16" t="n">
        <f aca="false">IF(A515=A514,IF(F515&gt;0,F515,0),"")</f>
        <v>0</v>
      </c>
      <c r="H515" s="16" t="n">
        <f aca="false">IF(A515=A514,IF(F515&lt;0,-F515,0),"")</f>
        <v>9.71000000000004</v>
      </c>
    </row>
    <row r="516" customFormat="false" ht="15" hidden="false" customHeight="false" outlineLevel="0" collapsed="false">
      <c r="A516" s="14" t="s">
        <v>90</v>
      </c>
      <c r="B516" s="15" t="n">
        <v>46230</v>
      </c>
      <c r="C516" s="14" t="n">
        <v>3344.73</v>
      </c>
      <c r="D516" s="14" t="n">
        <v>2163393</v>
      </c>
      <c r="E516" s="16" t="n">
        <f aca="false">COUNTIFS($A$2:$A$1561,A516,$B$2:$B$1561,"&gt;"&amp;B516)+1</f>
        <v>6</v>
      </c>
      <c r="F516" s="16" t="n">
        <f aca="false">IF(A516=A515,C516-C515,"")</f>
        <v>-25.0599999999999</v>
      </c>
      <c r="G516" s="16" t="n">
        <f aca="false">IF(A516=A515,IF(F516&gt;0,F516,0),"")</f>
        <v>0</v>
      </c>
      <c r="H516" s="16" t="n">
        <f aca="false">IF(A516=A515,IF(F516&lt;0,-F516,0),"")</f>
        <v>25.0599999999999</v>
      </c>
    </row>
    <row r="517" customFormat="false" ht="15" hidden="false" customHeight="false" outlineLevel="0" collapsed="false">
      <c r="A517" s="14" t="s">
        <v>90</v>
      </c>
      <c r="B517" s="15" t="n">
        <v>46231</v>
      </c>
      <c r="C517" s="14" t="n">
        <v>3321.05</v>
      </c>
      <c r="D517" s="14" t="n">
        <v>2228500</v>
      </c>
      <c r="E517" s="16" t="n">
        <f aca="false">COUNTIFS($A$2:$A$1561,A517,$B$2:$B$1561,"&gt;"&amp;B517)+1</f>
        <v>5</v>
      </c>
      <c r="F517" s="16" t="n">
        <f aca="false">IF(A517=A516,C517-C516,"")</f>
        <v>-23.6799999999998</v>
      </c>
      <c r="G517" s="16" t="n">
        <f aca="false">IF(A517=A516,IF(F517&gt;0,F517,0),"")</f>
        <v>0</v>
      </c>
      <c r="H517" s="16" t="n">
        <f aca="false">IF(A517=A516,IF(F517&lt;0,-F517,0),"")</f>
        <v>23.6799999999998</v>
      </c>
    </row>
    <row r="518" customFormat="false" ht="15" hidden="false" customHeight="false" outlineLevel="0" collapsed="false">
      <c r="A518" s="14" t="s">
        <v>90</v>
      </c>
      <c r="B518" s="15" t="n">
        <v>46232</v>
      </c>
      <c r="C518" s="14" t="n">
        <v>3344.09</v>
      </c>
      <c r="D518" s="14" t="n">
        <v>1730016</v>
      </c>
      <c r="E518" s="16" t="n">
        <f aca="false">COUNTIFS($A$2:$A$1561,A518,$B$2:$B$1561,"&gt;"&amp;B518)+1</f>
        <v>4</v>
      </c>
      <c r="F518" s="16" t="n">
        <f aca="false">IF(A518=A517,C518-C517,"")</f>
        <v>23.04</v>
      </c>
      <c r="G518" s="16" t="n">
        <f aca="false">IF(A518=A517,IF(F518&gt;0,F518,0),"")</f>
        <v>23.04</v>
      </c>
      <c r="H518" s="16" t="n">
        <f aca="false">IF(A518=A517,IF(F518&lt;0,-F518,0),"")</f>
        <v>0</v>
      </c>
    </row>
    <row r="519" customFormat="false" ht="15" hidden="false" customHeight="false" outlineLevel="0" collapsed="false">
      <c r="A519" s="14" t="s">
        <v>90</v>
      </c>
      <c r="B519" s="15" t="n">
        <v>46233</v>
      </c>
      <c r="C519" s="14" t="n">
        <v>3346.32</v>
      </c>
      <c r="D519" s="14" t="n">
        <v>1425423</v>
      </c>
      <c r="E519" s="16" t="n">
        <f aca="false">COUNTIFS($A$2:$A$1561,A519,$B$2:$B$1561,"&gt;"&amp;B519)+1</f>
        <v>3</v>
      </c>
      <c r="F519" s="16" t="n">
        <f aca="false">IF(A519=A518,C519-C518,"")</f>
        <v>2.23000000000002</v>
      </c>
      <c r="G519" s="16" t="n">
        <f aca="false">IF(A519=A518,IF(F519&gt;0,F519,0),"")</f>
        <v>2.23000000000002</v>
      </c>
      <c r="H519" s="16" t="n">
        <f aca="false">IF(A519=A518,IF(F519&lt;0,-F519,0),"")</f>
        <v>0</v>
      </c>
    </row>
    <row r="520" customFormat="false" ht="15" hidden="false" customHeight="false" outlineLevel="0" collapsed="false">
      <c r="A520" s="14" t="s">
        <v>90</v>
      </c>
      <c r="B520" s="15" t="n">
        <v>46234</v>
      </c>
      <c r="C520" s="14" t="n">
        <v>3351.4</v>
      </c>
      <c r="D520" s="14" t="n">
        <v>2083635</v>
      </c>
      <c r="E520" s="16" t="n">
        <f aca="false">COUNTIFS($A$2:$A$1561,A520,$B$2:$B$1561,"&gt;"&amp;B520)+1</f>
        <v>2</v>
      </c>
      <c r="F520" s="16" t="n">
        <f aca="false">IF(A520=A519,C520-C519,"")</f>
        <v>5.07999999999993</v>
      </c>
      <c r="G520" s="16" t="n">
        <f aca="false">IF(A520=A519,IF(F520&gt;0,F520,0),"")</f>
        <v>5.07999999999993</v>
      </c>
      <c r="H520" s="16" t="n">
        <f aca="false">IF(A520=A519,IF(F520&lt;0,-F520,0),"")</f>
        <v>0</v>
      </c>
    </row>
    <row r="521" customFormat="false" ht="15" hidden="false" customHeight="false" outlineLevel="0" collapsed="false">
      <c r="A521" s="14" t="s">
        <v>90</v>
      </c>
      <c r="B521" s="15" t="n">
        <v>46237</v>
      </c>
      <c r="C521" s="14" t="n">
        <v>3377.09</v>
      </c>
      <c r="D521" s="14" t="n">
        <v>1399467</v>
      </c>
      <c r="E521" s="16" t="n">
        <f aca="false">COUNTIFS($A$2:$A$1561,A521,$B$2:$B$1561,"&gt;"&amp;B521)+1</f>
        <v>1</v>
      </c>
      <c r="F521" s="16" t="n">
        <f aca="false">IF(A521=A520,C521-C520,"")</f>
        <v>25.6900000000001</v>
      </c>
      <c r="G521" s="16" t="n">
        <f aca="false">IF(A521=A520,IF(F521&gt;0,F521,0),"")</f>
        <v>25.6900000000001</v>
      </c>
      <c r="H521" s="16" t="n">
        <f aca="false">IF(A521=A520,IF(F521&lt;0,-F521,0),"")</f>
        <v>0</v>
      </c>
    </row>
    <row r="522" customFormat="false" ht="15" hidden="false" customHeight="false" outlineLevel="0" collapsed="false">
      <c r="A522" s="14" t="s">
        <v>94</v>
      </c>
      <c r="B522" s="15" t="n">
        <v>45874</v>
      </c>
      <c r="C522" s="14" t="n">
        <v>1851.25</v>
      </c>
      <c r="D522" s="14" t="n">
        <v>1803674</v>
      </c>
      <c r="E522" s="16" t="n">
        <f aca="false">COUNTIFS($A$2:$A$1561,A522,$B$2:$B$1561,"&gt;"&amp;B522)+1</f>
        <v>260</v>
      </c>
      <c r="F522" s="16" t="str">
        <f aca="false">IF(A522=A521,C522-C521,"")</f>
        <v/>
      </c>
      <c r="G522" s="16" t="str">
        <f aca="false">IF(A522=A521,IF(F522&gt;0,F522,0),"")</f>
        <v/>
      </c>
      <c r="H522" s="16" t="str">
        <f aca="false">IF(A522=A521,IF(F522&lt;0,-F522,0),"")</f>
        <v/>
      </c>
    </row>
    <row r="523" customFormat="false" ht="15" hidden="false" customHeight="false" outlineLevel="0" collapsed="false">
      <c r="A523" s="14" t="s">
        <v>94</v>
      </c>
      <c r="B523" s="15" t="n">
        <v>45875</v>
      </c>
      <c r="C523" s="14" t="n">
        <v>1846.31</v>
      </c>
      <c r="D523" s="14" t="n">
        <v>1451258</v>
      </c>
      <c r="E523" s="16" t="n">
        <f aca="false">COUNTIFS($A$2:$A$1561,A523,$B$2:$B$1561,"&gt;"&amp;B523)+1</f>
        <v>259</v>
      </c>
      <c r="F523" s="16" t="n">
        <f aca="false">IF(A523=A522,C523-C522,"")</f>
        <v>-4.94000000000006</v>
      </c>
      <c r="G523" s="16" t="n">
        <f aca="false">IF(A523=A522,IF(F523&gt;0,F523,0),"")</f>
        <v>0</v>
      </c>
      <c r="H523" s="16" t="n">
        <f aca="false">IF(A523=A522,IF(F523&lt;0,-F523,0),"")</f>
        <v>4.94000000000006</v>
      </c>
    </row>
    <row r="524" customFormat="false" ht="15" hidden="false" customHeight="false" outlineLevel="0" collapsed="false">
      <c r="A524" s="14" t="s">
        <v>94</v>
      </c>
      <c r="B524" s="15" t="n">
        <v>45876</v>
      </c>
      <c r="C524" s="14" t="n">
        <v>1835.7</v>
      </c>
      <c r="D524" s="14" t="n">
        <v>623747</v>
      </c>
      <c r="E524" s="16" t="n">
        <f aca="false">COUNTIFS($A$2:$A$1561,A524,$B$2:$B$1561,"&gt;"&amp;B524)+1</f>
        <v>258</v>
      </c>
      <c r="F524" s="16" t="n">
        <f aca="false">IF(A524=A523,C524-C523,"")</f>
        <v>-10.6099999999999</v>
      </c>
      <c r="G524" s="16" t="n">
        <f aca="false">IF(A524=A523,IF(F524&gt;0,F524,0),"")</f>
        <v>0</v>
      </c>
      <c r="H524" s="16" t="n">
        <f aca="false">IF(A524=A523,IF(F524&lt;0,-F524,0),"")</f>
        <v>10.6099999999999</v>
      </c>
    </row>
    <row r="525" customFormat="false" ht="15" hidden="false" customHeight="false" outlineLevel="0" collapsed="false">
      <c r="A525" s="14" t="s">
        <v>94</v>
      </c>
      <c r="B525" s="15" t="n">
        <v>45877</v>
      </c>
      <c r="C525" s="14" t="n">
        <v>1823.59</v>
      </c>
      <c r="D525" s="14" t="n">
        <v>2298253</v>
      </c>
      <c r="E525" s="16" t="n">
        <f aca="false">COUNTIFS($A$2:$A$1561,A525,$B$2:$B$1561,"&gt;"&amp;B525)+1</f>
        <v>257</v>
      </c>
      <c r="F525" s="16" t="n">
        <f aca="false">IF(A525=A524,C525-C524,"")</f>
        <v>-12.1100000000001</v>
      </c>
      <c r="G525" s="16" t="n">
        <f aca="false">IF(A525=A524,IF(F525&gt;0,F525,0),"")</f>
        <v>0</v>
      </c>
      <c r="H525" s="16" t="n">
        <f aca="false">IF(A525=A524,IF(F525&lt;0,-F525,0),"")</f>
        <v>12.1100000000001</v>
      </c>
    </row>
    <row r="526" customFormat="false" ht="15" hidden="false" customHeight="false" outlineLevel="0" collapsed="false">
      <c r="A526" s="14" t="s">
        <v>94</v>
      </c>
      <c r="B526" s="15" t="n">
        <v>45880</v>
      </c>
      <c r="C526" s="14" t="n">
        <v>1819.44</v>
      </c>
      <c r="D526" s="14" t="n">
        <v>1928631</v>
      </c>
      <c r="E526" s="16" t="n">
        <f aca="false">COUNTIFS($A$2:$A$1561,A526,$B$2:$B$1561,"&gt;"&amp;B526)+1</f>
        <v>256</v>
      </c>
      <c r="F526" s="16" t="n">
        <f aca="false">IF(A526=A525,C526-C525,"")</f>
        <v>-4.14999999999986</v>
      </c>
      <c r="G526" s="16" t="n">
        <f aca="false">IF(A526=A525,IF(F526&gt;0,F526,0),"")</f>
        <v>0</v>
      </c>
      <c r="H526" s="16" t="n">
        <f aca="false">IF(A526=A525,IF(F526&lt;0,-F526,0),"")</f>
        <v>4.14999999999986</v>
      </c>
    </row>
    <row r="527" customFormat="false" ht="15" hidden="false" customHeight="false" outlineLevel="0" collapsed="false">
      <c r="A527" s="14" t="s">
        <v>94</v>
      </c>
      <c r="B527" s="15" t="n">
        <v>45881</v>
      </c>
      <c r="C527" s="14" t="n">
        <v>1820.57</v>
      </c>
      <c r="D527" s="14" t="n">
        <v>845117</v>
      </c>
      <c r="E527" s="16" t="n">
        <f aca="false">COUNTIFS($A$2:$A$1561,A527,$B$2:$B$1561,"&gt;"&amp;B527)+1</f>
        <v>255</v>
      </c>
      <c r="F527" s="16" t="n">
        <f aca="false">IF(A527=A526,C527-C526,"")</f>
        <v>1.12999999999988</v>
      </c>
      <c r="G527" s="16" t="n">
        <f aca="false">IF(A527=A526,IF(F527&gt;0,F527,0),"")</f>
        <v>1.12999999999988</v>
      </c>
      <c r="H527" s="16" t="n">
        <f aca="false">IF(A527=A526,IF(F527&lt;0,-F527,0),"")</f>
        <v>0</v>
      </c>
    </row>
    <row r="528" customFormat="false" ht="15" hidden="false" customHeight="false" outlineLevel="0" collapsed="false">
      <c r="A528" s="14" t="s">
        <v>94</v>
      </c>
      <c r="B528" s="15" t="n">
        <v>45882</v>
      </c>
      <c r="C528" s="14" t="n">
        <v>1813.28</v>
      </c>
      <c r="D528" s="14" t="n">
        <v>1375516</v>
      </c>
      <c r="E528" s="16" t="n">
        <f aca="false">COUNTIFS($A$2:$A$1561,A528,$B$2:$B$1561,"&gt;"&amp;B528)+1</f>
        <v>254</v>
      </c>
      <c r="F528" s="16" t="n">
        <f aca="false">IF(A528=A527,C528-C527,"")</f>
        <v>-7.28999999999996</v>
      </c>
      <c r="G528" s="16" t="n">
        <f aca="false">IF(A528=A527,IF(F528&gt;0,F528,0),"")</f>
        <v>0</v>
      </c>
      <c r="H528" s="16" t="n">
        <f aca="false">IF(A528=A527,IF(F528&lt;0,-F528,0),"")</f>
        <v>7.28999999999996</v>
      </c>
    </row>
    <row r="529" customFormat="false" ht="15" hidden="false" customHeight="false" outlineLevel="0" collapsed="false">
      <c r="A529" s="14" t="s">
        <v>94</v>
      </c>
      <c r="B529" s="15" t="n">
        <v>45883</v>
      </c>
      <c r="C529" s="14" t="n">
        <v>1812.29</v>
      </c>
      <c r="D529" s="14" t="n">
        <v>1545496</v>
      </c>
      <c r="E529" s="16" t="n">
        <f aca="false">COUNTIFS($A$2:$A$1561,A529,$B$2:$B$1561,"&gt;"&amp;B529)+1</f>
        <v>253</v>
      </c>
      <c r="F529" s="16" t="n">
        <f aca="false">IF(A529=A528,C529-C528,"")</f>
        <v>-0.990000000000009</v>
      </c>
      <c r="G529" s="16" t="n">
        <f aca="false">IF(A529=A528,IF(F529&gt;0,F529,0),"")</f>
        <v>0</v>
      </c>
      <c r="H529" s="16" t="n">
        <f aca="false">IF(A529=A528,IF(F529&lt;0,-F529,0),"")</f>
        <v>0.990000000000009</v>
      </c>
    </row>
    <row r="530" customFormat="false" ht="15" hidden="false" customHeight="false" outlineLevel="0" collapsed="false">
      <c r="A530" s="14" t="s">
        <v>94</v>
      </c>
      <c r="B530" s="15" t="n">
        <v>45884</v>
      </c>
      <c r="C530" s="14" t="n">
        <v>1802.13</v>
      </c>
      <c r="D530" s="14" t="n">
        <v>1245703</v>
      </c>
      <c r="E530" s="16" t="n">
        <f aca="false">COUNTIFS($A$2:$A$1561,A530,$B$2:$B$1561,"&gt;"&amp;B530)+1</f>
        <v>252</v>
      </c>
      <c r="F530" s="16" t="n">
        <f aca="false">IF(A530=A529,C530-C529,"")</f>
        <v>-10.1599999999999</v>
      </c>
      <c r="G530" s="16" t="n">
        <f aca="false">IF(A530=A529,IF(F530&gt;0,F530,0),"")</f>
        <v>0</v>
      </c>
      <c r="H530" s="16" t="n">
        <f aca="false">IF(A530=A529,IF(F530&lt;0,-F530,0),"")</f>
        <v>10.1599999999999</v>
      </c>
    </row>
    <row r="531" customFormat="false" ht="15" hidden="false" customHeight="false" outlineLevel="0" collapsed="false">
      <c r="A531" s="14" t="s">
        <v>94</v>
      </c>
      <c r="B531" s="15" t="n">
        <v>45887</v>
      </c>
      <c r="C531" s="14" t="n">
        <v>1796.06</v>
      </c>
      <c r="D531" s="14" t="n">
        <v>1317538</v>
      </c>
      <c r="E531" s="16" t="n">
        <f aca="false">COUNTIFS($A$2:$A$1561,A531,$B$2:$B$1561,"&gt;"&amp;B531)+1</f>
        <v>251</v>
      </c>
      <c r="F531" s="16" t="n">
        <f aca="false">IF(A531=A530,C531-C530,"")</f>
        <v>-6.07000000000016</v>
      </c>
      <c r="G531" s="16" t="n">
        <f aca="false">IF(A531=A530,IF(F531&gt;0,F531,0),"")</f>
        <v>0</v>
      </c>
      <c r="H531" s="16" t="n">
        <f aca="false">IF(A531=A530,IF(F531&lt;0,-F531,0),"")</f>
        <v>6.07000000000016</v>
      </c>
    </row>
    <row r="532" customFormat="false" ht="15" hidden="false" customHeight="false" outlineLevel="0" collapsed="false">
      <c r="A532" s="14" t="s">
        <v>94</v>
      </c>
      <c r="B532" s="15" t="n">
        <v>45888</v>
      </c>
      <c r="C532" s="14" t="n">
        <v>1791.81</v>
      </c>
      <c r="D532" s="14" t="n">
        <v>1695771</v>
      </c>
      <c r="E532" s="16" t="n">
        <f aca="false">COUNTIFS($A$2:$A$1561,A532,$B$2:$B$1561,"&gt;"&amp;B532)+1</f>
        <v>250</v>
      </c>
      <c r="F532" s="16" t="n">
        <f aca="false">IF(A532=A531,C532-C531,"")</f>
        <v>-4.25</v>
      </c>
      <c r="G532" s="16" t="n">
        <f aca="false">IF(A532=A531,IF(F532&gt;0,F532,0),"")</f>
        <v>0</v>
      </c>
      <c r="H532" s="16" t="n">
        <f aca="false">IF(A532=A531,IF(F532&lt;0,-F532,0),"")</f>
        <v>4.25</v>
      </c>
    </row>
    <row r="533" customFormat="false" ht="15" hidden="false" customHeight="false" outlineLevel="0" collapsed="false">
      <c r="A533" s="14" t="s">
        <v>94</v>
      </c>
      <c r="B533" s="15" t="n">
        <v>45889</v>
      </c>
      <c r="C533" s="14" t="n">
        <v>1802.1</v>
      </c>
      <c r="D533" s="14" t="n">
        <v>1794610</v>
      </c>
      <c r="E533" s="16" t="n">
        <f aca="false">COUNTIFS($A$2:$A$1561,A533,$B$2:$B$1561,"&gt;"&amp;B533)+1</f>
        <v>249</v>
      </c>
      <c r="F533" s="16" t="n">
        <f aca="false">IF(A533=A532,C533-C532,"")</f>
        <v>10.29</v>
      </c>
      <c r="G533" s="16" t="n">
        <f aca="false">IF(A533=A532,IF(F533&gt;0,F533,0),"")</f>
        <v>10.29</v>
      </c>
      <c r="H533" s="16" t="n">
        <f aca="false">IF(A533=A532,IF(F533&lt;0,-F533,0),"")</f>
        <v>0</v>
      </c>
    </row>
    <row r="534" customFormat="false" ht="15" hidden="false" customHeight="false" outlineLevel="0" collapsed="false">
      <c r="A534" s="14" t="s">
        <v>94</v>
      </c>
      <c r="B534" s="15" t="n">
        <v>45890</v>
      </c>
      <c r="C534" s="14" t="n">
        <v>1789</v>
      </c>
      <c r="D534" s="14" t="n">
        <v>689011</v>
      </c>
      <c r="E534" s="16" t="n">
        <f aca="false">COUNTIFS($A$2:$A$1561,A534,$B$2:$B$1561,"&gt;"&amp;B534)+1</f>
        <v>248</v>
      </c>
      <c r="F534" s="16" t="n">
        <f aca="false">IF(A534=A533,C534-C533,"")</f>
        <v>-13.0999999999999</v>
      </c>
      <c r="G534" s="16" t="n">
        <f aca="false">IF(A534=A533,IF(F534&gt;0,F534,0),"")</f>
        <v>0</v>
      </c>
      <c r="H534" s="16" t="n">
        <f aca="false">IF(A534=A533,IF(F534&lt;0,-F534,0),"")</f>
        <v>13.0999999999999</v>
      </c>
    </row>
    <row r="535" customFormat="false" ht="15" hidden="false" customHeight="false" outlineLevel="0" collapsed="false">
      <c r="A535" s="14" t="s">
        <v>94</v>
      </c>
      <c r="B535" s="15" t="n">
        <v>45891</v>
      </c>
      <c r="C535" s="14" t="n">
        <v>1795.71</v>
      </c>
      <c r="D535" s="14" t="n">
        <v>1068293</v>
      </c>
      <c r="E535" s="16" t="n">
        <f aca="false">COUNTIFS($A$2:$A$1561,A535,$B$2:$B$1561,"&gt;"&amp;B535)+1</f>
        <v>247</v>
      </c>
      <c r="F535" s="16" t="n">
        <f aca="false">IF(A535=A534,C535-C534,"")</f>
        <v>6.71000000000004</v>
      </c>
      <c r="G535" s="16" t="n">
        <f aca="false">IF(A535=A534,IF(F535&gt;0,F535,0),"")</f>
        <v>6.71000000000004</v>
      </c>
      <c r="H535" s="16" t="n">
        <f aca="false">IF(A535=A534,IF(F535&lt;0,-F535,0),"")</f>
        <v>0</v>
      </c>
    </row>
    <row r="536" customFormat="false" ht="15" hidden="false" customHeight="false" outlineLevel="0" collapsed="false">
      <c r="A536" s="14" t="s">
        <v>94</v>
      </c>
      <c r="B536" s="15" t="n">
        <v>45894</v>
      </c>
      <c r="C536" s="14" t="n">
        <v>1803.91</v>
      </c>
      <c r="D536" s="14" t="n">
        <v>1813128</v>
      </c>
      <c r="E536" s="16" t="n">
        <f aca="false">COUNTIFS($A$2:$A$1561,A536,$B$2:$B$1561,"&gt;"&amp;B536)+1</f>
        <v>246</v>
      </c>
      <c r="F536" s="16" t="n">
        <f aca="false">IF(A536=A535,C536-C535,"")</f>
        <v>8.20000000000005</v>
      </c>
      <c r="G536" s="16" t="n">
        <f aca="false">IF(A536=A535,IF(F536&gt;0,F536,0),"")</f>
        <v>8.20000000000005</v>
      </c>
      <c r="H536" s="16" t="n">
        <f aca="false">IF(A536=A535,IF(F536&lt;0,-F536,0),"")</f>
        <v>0</v>
      </c>
    </row>
    <row r="537" customFormat="false" ht="15" hidden="false" customHeight="false" outlineLevel="0" collapsed="false">
      <c r="A537" s="14" t="s">
        <v>94</v>
      </c>
      <c r="B537" s="15" t="n">
        <v>45895</v>
      </c>
      <c r="C537" s="14" t="n">
        <v>1818.08</v>
      </c>
      <c r="D537" s="14" t="n">
        <v>2246559</v>
      </c>
      <c r="E537" s="16" t="n">
        <f aca="false">COUNTIFS($A$2:$A$1561,A537,$B$2:$B$1561,"&gt;"&amp;B537)+1</f>
        <v>245</v>
      </c>
      <c r="F537" s="16" t="n">
        <f aca="false">IF(A537=A536,C537-C536,"")</f>
        <v>14.1699999999998</v>
      </c>
      <c r="G537" s="16" t="n">
        <f aca="false">IF(A537=A536,IF(F537&gt;0,F537,0),"")</f>
        <v>14.1699999999998</v>
      </c>
      <c r="H537" s="16" t="n">
        <f aca="false">IF(A537=A536,IF(F537&lt;0,-F537,0),"")</f>
        <v>0</v>
      </c>
    </row>
    <row r="538" customFormat="false" ht="15" hidden="false" customHeight="false" outlineLevel="0" collapsed="false">
      <c r="A538" s="14" t="s">
        <v>94</v>
      </c>
      <c r="B538" s="15" t="n">
        <v>45896</v>
      </c>
      <c r="C538" s="14" t="n">
        <v>1813.6</v>
      </c>
      <c r="D538" s="14" t="n">
        <v>1665479</v>
      </c>
      <c r="E538" s="16" t="n">
        <f aca="false">COUNTIFS($A$2:$A$1561,A538,$B$2:$B$1561,"&gt;"&amp;B538)+1</f>
        <v>244</v>
      </c>
      <c r="F538" s="16" t="n">
        <f aca="false">IF(A538=A537,C538-C537,"")</f>
        <v>-4.48000000000002</v>
      </c>
      <c r="G538" s="16" t="n">
        <f aca="false">IF(A538=A537,IF(F538&gt;0,F538,0),"")</f>
        <v>0</v>
      </c>
      <c r="H538" s="16" t="n">
        <f aca="false">IF(A538=A537,IF(F538&lt;0,-F538,0),"")</f>
        <v>4.48000000000002</v>
      </c>
    </row>
    <row r="539" customFormat="false" ht="15" hidden="false" customHeight="false" outlineLevel="0" collapsed="false">
      <c r="A539" s="14" t="s">
        <v>94</v>
      </c>
      <c r="B539" s="15" t="n">
        <v>45897</v>
      </c>
      <c r="C539" s="14" t="n">
        <v>1802.88</v>
      </c>
      <c r="D539" s="14" t="n">
        <v>1199641</v>
      </c>
      <c r="E539" s="16" t="n">
        <f aca="false">COUNTIFS($A$2:$A$1561,A539,$B$2:$B$1561,"&gt;"&amp;B539)+1</f>
        <v>243</v>
      </c>
      <c r="F539" s="16" t="n">
        <f aca="false">IF(A539=A538,C539-C538,"")</f>
        <v>-10.7199999999998</v>
      </c>
      <c r="G539" s="16" t="n">
        <f aca="false">IF(A539=A538,IF(F539&gt;0,F539,0),"")</f>
        <v>0</v>
      </c>
      <c r="H539" s="16" t="n">
        <f aca="false">IF(A539=A538,IF(F539&lt;0,-F539,0),"")</f>
        <v>10.7199999999998</v>
      </c>
    </row>
    <row r="540" customFormat="false" ht="15" hidden="false" customHeight="false" outlineLevel="0" collapsed="false">
      <c r="A540" s="14" t="s">
        <v>94</v>
      </c>
      <c r="B540" s="15" t="n">
        <v>45898</v>
      </c>
      <c r="C540" s="14" t="n">
        <v>1819.03</v>
      </c>
      <c r="D540" s="14" t="n">
        <v>1896959</v>
      </c>
      <c r="E540" s="16" t="n">
        <f aca="false">COUNTIFS($A$2:$A$1561,A540,$B$2:$B$1561,"&gt;"&amp;B540)+1</f>
        <v>242</v>
      </c>
      <c r="F540" s="16" t="n">
        <f aca="false">IF(A540=A539,C540-C539,"")</f>
        <v>16.1499999999999</v>
      </c>
      <c r="G540" s="16" t="n">
        <f aca="false">IF(A540=A539,IF(F540&gt;0,F540,0),"")</f>
        <v>16.1499999999999</v>
      </c>
      <c r="H540" s="16" t="n">
        <f aca="false">IF(A540=A539,IF(F540&lt;0,-F540,0),"")</f>
        <v>0</v>
      </c>
    </row>
    <row r="541" customFormat="false" ht="15" hidden="false" customHeight="false" outlineLevel="0" collapsed="false">
      <c r="A541" s="14" t="s">
        <v>94</v>
      </c>
      <c r="B541" s="15" t="n">
        <v>45901</v>
      </c>
      <c r="C541" s="14" t="n">
        <v>1816.47</v>
      </c>
      <c r="D541" s="14" t="n">
        <v>1690082</v>
      </c>
      <c r="E541" s="16" t="n">
        <f aca="false">COUNTIFS($A$2:$A$1561,A541,$B$2:$B$1561,"&gt;"&amp;B541)+1</f>
        <v>241</v>
      </c>
      <c r="F541" s="16" t="n">
        <f aca="false">IF(A541=A540,C541-C540,"")</f>
        <v>-2.55999999999995</v>
      </c>
      <c r="G541" s="16" t="n">
        <f aca="false">IF(A541=A540,IF(F541&gt;0,F541,0),"")</f>
        <v>0</v>
      </c>
      <c r="H541" s="16" t="n">
        <f aca="false">IF(A541=A540,IF(F541&lt;0,-F541,0),"")</f>
        <v>2.55999999999995</v>
      </c>
    </row>
    <row r="542" customFormat="false" ht="15" hidden="false" customHeight="false" outlineLevel="0" collapsed="false">
      <c r="A542" s="14" t="s">
        <v>94</v>
      </c>
      <c r="B542" s="15" t="n">
        <v>45902</v>
      </c>
      <c r="C542" s="14" t="n">
        <v>1831.78</v>
      </c>
      <c r="D542" s="14" t="n">
        <v>1119163</v>
      </c>
      <c r="E542" s="16" t="n">
        <f aca="false">COUNTIFS($A$2:$A$1561,A542,$B$2:$B$1561,"&gt;"&amp;B542)+1</f>
        <v>240</v>
      </c>
      <c r="F542" s="16" t="n">
        <f aca="false">IF(A542=A541,C542-C541,"")</f>
        <v>15.3099999999999</v>
      </c>
      <c r="G542" s="16" t="n">
        <f aca="false">IF(A542=A541,IF(F542&gt;0,F542,0),"")</f>
        <v>15.3099999999999</v>
      </c>
      <c r="H542" s="16" t="n">
        <f aca="false">IF(A542=A541,IF(F542&lt;0,-F542,0),"")</f>
        <v>0</v>
      </c>
    </row>
    <row r="543" customFormat="false" ht="15" hidden="false" customHeight="false" outlineLevel="0" collapsed="false">
      <c r="A543" s="14" t="s">
        <v>94</v>
      </c>
      <c r="B543" s="15" t="n">
        <v>45903</v>
      </c>
      <c r="C543" s="14" t="n">
        <v>1828.7</v>
      </c>
      <c r="D543" s="14" t="n">
        <v>2083323</v>
      </c>
      <c r="E543" s="16" t="n">
        <f aca="false">COUNTIFS($A$2:$A$1561,A543,$B$2:$B$1561,"&gt;"&amp;B543)+1</f>
        <v>239</v>
      </c>
      <c r="F543" s="16" t="n">
        <f aca="false">IF(A543=A542,C543-C542,"")</f>
        <v>-3.07999999999993</v>
      </c>
      <c r="G543" s="16" t="n">
        <f aca="false">IF(A543=A542,IF(F543&gt;0,F543,0),"")</f>
        <v>0</v>
      </c>
      <c r="H543" s="16" t="n">
        <f aca="false">IF(A543=A542,IF(F543&lt;0,-F543,0),"")</f>
        <v>3.07999999999993</v>
      </c>
    </row>
    <row r="544" customFormat="false" ht="15" hidden="false" customHeight="false" outlineLevel="0" collapsed="false">
      <c r="A544" s="14" t="s">
        <v>94</v>
      </c>
      <c r="B544" s="15" t="n">
        <v>45904</v>
      </c>
      <c r="C544" s="14" t="n">
        <v>1840</v>
      </c>
      <c r="D544" s="14" t="n">
        <v>1840232</v>
      </c>
      <c r="E544" s="16" t="n">
        <f aca="false">COUNTIFS($A$2:$A$1561,A544,$B$2:$B$1561,"&gt;"&amp;B544)+1</f>
        <v>238</v>
      </c>
      <c r="F544" s="16" t="n">
        <f aca="false">IF(A544=A543,C544-C543,"")</f>
        <v>11.3</v>
      </c>
      <c r="G544" s="16" t="n">
        <f aca="false">IF(A544=A543,IF(F544&gt;0,F544,0),"")</f>
        <v>11.3</v>
      </c>
      <c r="H544" s="16" t="n">
        <f aca="false">IF(A544=A543,IF(F544&lt;0,-F544,0),"")</f>
        <v>0</v>
      </c>
    </row>
    <row r="545" customFormat="false" ht="15" hidden="false" customHeight="false" outlineLevel="0" collapsed="false">
      <c r="A545" s="14" t="s">
        <v>94</v>
      </c>
      <c r="B545" s="15" t="n">
        <v>45905</v>
      </c>
      <c r="C545" s="14" t="n">
        <v>1851.88</v>
      </c>
      <c r="D545" s="14" t="n">
        <v>1977549</v>
      </c>
      <c r="E545" s="16" t="n">
        <f aca="false">COUNTIFS($A$2:$A$1561,A545,$B$2:$B$1561,"&gt;"&amp;B545)+1</f>
        <v>237</v>
      </c>
      <c r="F545" s="16" t="n">
        <f aca="false">IF(A545=A544,C545-C544,"")</f>
        <v>11.8800000000001</v>
      </c>
      <c r="G545" s="16" t="n">
        <f aca="false">IF(A545=A544,IF(F545&gt;0,F545,0),"")</f>
        <v>11.8800000000001</v>
      </c>
      <c r="H545" s="16" t="n">
        <f aca="false">IF(A545=A544,IF(F545&lt;0,-F545,0),"")</f>
        <v>0</v>
      </c>
    </row>
    <row r="546" customFormat="false" ht="15" hidden="false" customHeight="false" outlineLevel="0" collapsed="false">
      <c r="A546" s="14" t="s">
        <v>94</v>
      </c>
      <c r="B546" s="15" t="n">
        <v>45908</v>
      </c>
      <c r="C546" s="14" t="n">
        <v>1859.07</v>
      </c>
      <c r="D546" s="14" t="n">
        <v>1552786</v>
      </c>
      <c r="E546" s="16" t="n">
        <f aca="false">COUNTIFS($A$2:$A$1561,A546,$B$2:$B$1561,"&gt;"&amp;B546)+1</f>
        <v>236</v>
      </c>
      <c r="F546" s="16" t="n">
        <f aca="false">IF(A546=A545,C546-C545,"")</f>
        <v>7.18999999999983</v>
      </c>
      <c r="G546" s="16" t="n">
        <f aca="false">IF(A546=A545,IF(F546&gt;0,F546,0),"")</f>
        <v>7.18999999999983</v>
      </c>
      <c r="H546" s="16" t="n">
        <f aca="false">IF(A546=A545,IF(F546&lt;0,-F546,0),"")</f>
        <v>0</v>
      </c>
    </row>
    <row r="547" customFormat="false" ht="15" hidden="false" customHeight="false" outlineLevel="0" collapsed="false">
      <c r="A547" s="14" t="s">
        <v>94</v>
      </c>
      <c r="B547" s="15" t="n">
        <v>45909</v>
      </c>
      <c r="C547" s="14" t="n">
        <v>1864.96</v>
      </c>
      <c r="D547" s="14" t="n">
        <v>1346812</v>
      </c>
      <c r="E547" s="16" t="n">
        <f aca="false">COUNTIFS($A$2:$A$1561,A547,$B$2:$B$1561,"&gt;"&amp;B547)+1</f>
        <v>235</v>
      </c>
      <c r="F547" s="16" t="n">
        <f aca="false">IF(A547=A546,C547-C546,"")</f>
        <v>5.8900000000001</v>
      </c>
      <c r="G547" s="16" t="n">
        <f aca="false">IF(A547=A546,IF(F547&gt;0,F547,0),"")</f>
        <v>5.8900000000001</v>
      </c>
      <c r="H547" s="16" t="n">
        <f aca="false">IF(A547=A546,IF(F547&lt;0,-F547,0),"")</f>
        <v>0</v>
      </c>
    </row>
    <row r="548" customFormat="false" ht="15" hidden="false" customHeight="false" outlineLevel="0" collapsed="false">
      <c r="A548" s="14" t="s">
        <v>94</v>
      </c>
      <c r="B548" s="15" t="n">
        <v>45910</v>
      </c>
      <c r="C548" s="14" t="n">
        <v>1861.32</v>
      </c>
      <c r="D548" s="14" t="n">
        <v>1225195</v>
      </c>
      <c r="E548" s="16" t="n">
        <f aca="false">COUNTIFS($A$2:$A$1561,A548,$B$2:$B$1561,"&gt;"&amp;B548)+1</f>
        <v>234</v>
      </c>
      <c r="F548" s="16" t="n">
        <f aca="false">IF(A548=A547,C548-C547,"")</f>
        <v>-3.6400000000001</v>
      </c>
      <c r="G548" s="16" t="n">
        <f aca="false">IF(A548=A547,IF(F548&gt;0,F548,0),"")</f>
        <v>0</v>
      </c>
      <c r="H548" s="16" t="n">
        <f aca="false">IF(A548=A547,IF(F548&lt;0,-F548,0),"")</f>
        <v>3.6400000000001</v>
      </c>
    </row>
    <row r="549" customFormat="false" ht="15" hidden="false" customHeight="false" outlineLevel="0" collapsed="false">
      <c r="A549" s="14" t="s">
        <v>94</v>
      </c>
      <c r="B549" s="15" t="n">
        <v>45911</v>
      </c>
      <c r="C549" s="14" t="n">
        <v>1851.62</v>
      </c>
      <c r="D549" s="14" t="n">
        <v>928385</v>
      </c>
      <c r="E549" s="16" t="n">
        <f aca="false">COUNTIFS($A$2:$A$1561,A549,$B$2:$B$1561,"&gt;"&amp;B549)+1</f>
        <v>233</v>
      </c>
      <c r="F549" s="16" t="n">
        <f aca="false">IF(A549=A548,C549-C548,"")</f>
        <v>-9.70000000000005</v>
      </c>
      <c r="G549" s="16" t="n">
        <f aca="false">IF(A549=A548,IF(F549&gt;0,F549,0),"")</f>
        <v>0</v>
      </c>
      <c r="H549" s="16" t="n">
        <f aca="false">IF(A549=A548,IF(F549&lt;0,-F549,0),"")</f>
        <v>9.70000000000005</v>
      </c>
    </row>
    <row r="550" customFormat="false" ht="15" hidden="false" customHeight="false" outlineLevel="0" collapsed="false">
      <c r="A550" s="14" t="s">
        <v>94</v>
      </c>
      <c r="B550" s="15" t="n">
        <v>45912</v>
      </c>
      <c r="C550" s="14" t="n">
        <v>1867.54</v>
      </c>
      <c r="D550" s="14" t="n">
        <v>1472541</v>
      </c>
      <c r="E550" s="16" t="n">
        <f aca="false">COUNTIFS($A$2:$A$1561,A550,$B$2:$B$1561,"&gt;"&amp;B550)+1</f>
        <v>232</v>
      </c>
      <c r="F550" s="16" t="n">
        <f aca="false">IF(A550=A549,C550-C549,"")</f>
        <v>15.9200000000001</v>
      </c>
      <c r="G550" s="16" t="n">
        <f aca="false">IF(A550=A549,IF(F550&gt;0,F550,0),"")</f>
        <v>15.9200000000001</v>
      </c>
      <c r="H550" s="16" t="n">
        <f aca="false">IF(A550=A549,IF(F550&lt;0,-F550,0),"")</f>
        <v>0</v>
      </c>
    </row>
    <row r="551" customFormat="false" ht="15" hidden="false" customHeight="false" outlineLevel="0" collapsed="false">
      <c r="A551" s="14" t="s">
        <v>94</v>
      </c>
      <c r="B551" s="15" t="n">
        <v>45915</v>
      </c>
      <c r="C551" s="14" t="n">
        <v>1859.35</v>
      </c>
      <c r="D551" s="14" t="n">
        <v>775130</v>
      </c>
      <c r="E551" s="16" t="n">
        <f aca="false">COUNTIFS($A$2:$A$1561,A551,$B$2:$B$1561,"&gt;"&amp;B551)+1</f>
        <v>231</v>
      </c>
      <c r="F551" s="16" t="n">
        <f aca="false">IF(A551=A550,C551-C550,"")</f>
        <v>-8.19000000000006</v>
      </c>
      <c r="G551" s="16" t="n">
        <f aca="false">IF(A551=A550,IF(F551&gt;0,F551,0),"")</f>
        <v>0</v>
      </c>
      <c r="H551" s="16" t="n">
        <f aca="false">IF(A551=A550,IF(F551&lt;0,-F551,0),"")</f>
        <v>8.19000000000006</v>
      </c>
    </row>
    <row r="552" customFormat="false" ht="15" hidden="false" customHeight="false" outlineLevel="0" collapsed="false">
      <c r="A552" s="14" t="s">
        <v>94</v>
      </c>
      <c r="B552" s="15" t="n">
        <v>45916</v>
      </c>
      <c r="C552" s="14" t="n">
        <v>1846.21</v>
      </c>
      <c r="D552" s="14" t="n">
        <v>2188856</v>
      </c>
      <c r="E552" s="16" t="n">
        <f aca="false">COUNTIFS($A$2:$A$1561,A552,$B$2:$B$1561,"&gt;"&amp;B552)+1</f>
        <v>230</v>
      </c>
      <c r="F552" s="16" t="n">
        <f aca="false">IF(A552=A551,C552-C551,"")</f>
        <v>-13.1399999999999</v>
      </c>
      <c r="G552" s="16" t="n">
        <f aca="false">IF(A552=A551,IF(F552&gt;0,F552,0),"")</f>
        <v>0</v>
      </c>
      <c r="H552" s="16" t="n">
        <f aca="false">IF(A552=A551,IF(F552&lt;0,-F552,0),"")</f>
        <v>13.1399999999999</v>
      </c>
    </row>
    <row r="553" customFormat="false" ht="15" hidden="false" customHeight="false" outlineLevel="0" collapsed="false">
      <c r="A553" s="14" t="s">
        <v>94</v>
      </c>
      <c r="B553" s="15" t="n">
        <v>45917</v>
      </c>
      <c r="C553" s="14" t="n">
        <v>1833.95</v>
      </c>
      <c r="D553" s="14" t="n">
        <v>2041749</v>
      </c>
      <c r="E553" s="16" t="n">
        <f aca="false">COUNTIFS($A$2:$A$1561,A553,$B$2:$B$1561,"&gt;"&amp;B553)+1</f>
        <v>229</v>
      </c>
      <c r="F553" s="16" t="n">
        <f aca="false">IF(A553=A552,C553-C552,"")</f>
        <v>-12.26</v>
      </c>
      <c r="G553" s="16" t="n">
        <f aca="false">IF(A553=A552,IF(F553&gt;0,F553,0),"")</f>
        <v>0</v>
      </c>
      <c r="H553" s="16" t="n">
        <f aca="false">IF(A553=A552,IF(F553&lt;0,-F553,0),"")</f>
        <v>12.26</v>
      </c>
    </row>
    <row r="554" customFormat="false" ht="15" hidden="false" customHeight="false" outlineLevel="0" collapsed="false">
      <c r="A554" s="14" t="s">
        <v>94</v>
      </c>
      <c r="B554" s="15" t="n">
        <v>45918</v>
      </c>
      <c r="C554" s="14" t="n">
        <v>1846</v>
      </c>
      <c r="D554" s="14" t="n">
        <v>2267364</v>
      </c>
      <c r="E554" s="16" t="n">
        <f aca="false">COUNTIFS($A$2:$A$1561,A554,$B$2:$B$1561,"&gt;"&amp;B554)+1</f>
        <v>228</v>
      </c>
      <c r="F554" s="16" t="n">
        <f aca="false">IF(A554=A553,C554-C553,"")</f>
        <v>12.05</v>
      </c>
      <c r="G554" s="16" t="n">
        <f aca="false">IF(A554=A553,IF(F554&gt;0,F554,0),"")</f>
        <v>12.05</v>
      </c>
      <c r="H554" s="16" t="n">
        <f aca="false">IF(A554=A553,IF(F554&lt;0,-F554,0),"")</f>
        <v>0</v>
      </c>
    </row>
    <row r="555" customFormat="false" ht="15" hidden="false" customHeight="false" outlineLevel="0" collapsed="false">
      <c r="A555" s="14" t="s">
        <v>94</v>
      </c>
      <c r="B555" s="15" t="n">
        <v>45919</v>
      </c>
      <c r="C555" s="14" t="n">
        <v>1831.64</v>
      </c>
      <c r="D555" s="14" t="n">
        <v>1173528</v>
      </c>
      <c r="E555" s="16" t="n">
        <f aca="false">COUNTIFS($A$2:$A$1561,A555,$B$2:$B$1561,"&gt;"&amp;B555)+1</f>
        <v>227</v>
      </c>
      <c r="F555" s="16" t="n">
        <f aca="false">IF(A555=A554,C555-C554,"")</f>
        <v>-14.3599999999999</v>
      </c>
      <c r="G555" s="16" t="n">
        <f aca="false">IF(A555=A554,IF(F555&gt;0,F555,0),"")</f>
        <v>0</v>
      </c>
      <c r="H555" s="16" t="n">
        <f aca="false">IF(A555=A554,IF(F555&lt;0,-F555,0),"")</f>
        <v>14.3599999999999</v>
      </c>
    </row>
    <row r="556" customFormat="false" ht="15" hidden="false" customHeight="false" outlineLevel="0" collapsed="false">
      <c r="A556" s="14" t="s">
        <v>94</v>
      </c>
      <c r="B556" s="15" t="n">
        <v>45922</v>
      </c>
      <c r="C556" s="14" t="n">
        <v>1841.41</v>
      </c>
      <c r="D556" s="14" t="n">
        <v>762098</v>
      </c>
      <c r="E556" s="16" t="n">
        <f aca="false">COUNTIFS($A$2:$A$1561,A556,$B$2:$B$1561,"&gt;"&amp;B556)+1</f>
        <v>226</v>
      </c>
      <c r="F556" s="16" t="n">
        <f aca="false">IF(A556=A555,C556-C555,"")</f>
        <v>9.76999999999998</v>
      </c>
      <c r="G556" s="16" t="n">
        <f aca="false">IF(A556=A555,IF(F556&gt;0,F556,0),"")</f>
        <v>9.76999999999998</v>
      </c>
      <c r="H556" s="16" t="n">
        <f aca="false">IF(A556=A555,IF(F556&lt;0,-F556,0),"")</f>
        <v>0</v>
      </c>
    </row>
    <row r="557" customFormat="false" ht="15" hidden="false" customHeight="false" outlineLevel="0" collapsed="false">
      <c r="A557" s="14" t="s">
        <v>94</v>
      </c>
      <c r="B557" s="15" t="n">
        <v>45923</v>
      </c>
      <c r="C557" s="14" t="n">
        <v>1838.32</v>
      </c>
      <c r="D557" s="14" t="n">
        <v>824494</v>
      </c>
      <c r="E557" s="16" t="n">
        <f aca="false">COUNTIFS($A$2:$A$1561,A557,$B$2:$B$1561,"&gt;"&amp;B557)+1</f>
        <v>225</v>
      </c>
      <c r="F557" s="16" t="n">
        <f aca="false">IF(A557=A556,C557-C556,"")</f>
        <v>-3.09000000000015</v>
      </c>
      <c r="G557" s="16" t="n">
        <f aca="false">IF(A557=A556,IF(F557&gt;0,F557,0),"")</f>
        <v>0</v>
      </c>
      <c r="H557" s="16" t="n">
        <f aca="false">IF(A557=A556,IF(F557&lt;0,-F557,0),"")</f>
        <v>3.09000000000015</v>
      </c>
    </row>
    <row r="558" customFormat="false" ht="15" hidden="false" customHeight="false" outlineLevel="0" collapsed="false">
      <c r="A558" s="14" t="s">
        <v>94</v>
      </c>
      <c r="B558" s="15" t="n">
        <v>45924</v>
      </c>
      <c r="C558" s="14" t="n">
        <v>1850.27</v>
      </c>
      <c r="D558" s="14" t="n">
        <v>2042195</v>
      </c>
      <c r="E558" s="16" t="n">
        <f aca="false">COUNTIFS($A$2:$A$1561,A558,$B$2:$B$1561,"&gt;"&amp;B558)+1</f>
        <v>224</v>
      </c>
      <c r="F558" s="16" t="n">
        <f aca="false">IF(A558=A557,C558-C557,"")</f>
        <v>11.95</v>
      </c>
      <c r="G558" s="16" t="n">
        <f aca="false">IF(A558=A557,IF(F558&gt;0,F558,0),"")</f>
        <v>11.95</v>
      </c>
      <c r="H558" s="16" t="n">
        <f aca="false">IF(A558=A557,IF(F558&lt;0,-F558,0),"")</f>
        <v>0</v>
      </c>
    </row>
    <row r="559" customFormat="false" ht="15" hidden="false" customHeight="false" outlineLevel="0" collapsed="false">
      <c r="A559" s="14" t="s">
        <v>94</v>
      </c>
      <c r="B559" s="15" t="n">
        <v>45925</v>
      </c>
      <c r="C559" s="14" t="n">
        <v>1861.56</v>
      </c>
      <c r="D559" s="14" t="n">
        <v>831078</v>
      </c>
      <c r="E559" s="16" t="n">
        <f aca="false">COUNTIFS($A$2:$A$1561,A559,$B$2:$B$1561,"&gt;"&amp;B559)+1</f>
        <v>223</v>
      </c>
      <c r="F559" s="16" t="n">
        <f aca="false">IF(A559=A558,C559-C558,"")</f>
        <v>11.29</v>
      </c>
      <c r="G559" s="16" t="n">
        <f aca="false">IF(A559=A558,IF(F559&gt;0,F559,0),"")</f>
        <v>11.29</v>
      </c>
      <c r="H559" s="16" t="n">
        <f aca="false">IF(A559=A558,IF(F559&lt;0,-F559,0),"")</f>
        <v>0</v>
      </c>
    </row>
    <row r="560" customFormat="false" ht="15" hidden="false" customHeight="false" outlineLevel="0" collapsed="false">
      <c r="A560" s="14" t="s">
        <v>94</v>
      </c>
      <c r="B560" s="15" t="n">
        <v>45926</v>
      </c>
      <c r="C560" s="14" t="n">
        <v>1860.48</v>
      </c>
      <c r="D560" s="14" t="n">
        <v>1321717</v>
      </c>
      <c r="E560" s="16" t="n">
        <f aca="false">COUNTIFS($A$2:$A$1561,A560,$B$2:$B$1561,"&gt;"&amp;B560)+1</f>
        <v>222</v>
      </c>
      <c r="F560" s="16" t="n">
        <f aca="false">IF(A560=A559,C560-C559,"")</f>
        <v>-1.07999999999993</v>
      </c>
      <c r="G560" s="16" t="n">
        <f aca="false">IF(A560=A559,IF(F560&gt;0,F560,0),"")</f>
        <v>0</v>
      </c>
      <c r="H560" s="16" t="n">
        <f aca="false">IF(A560=A559,IF(F560&lt;0,-F560,0),"")</f>
        <v>1.07999999999993</v>
      </c>
    </row>
    <row r="561" customFormat="false" ht="15" hidden="false" customHeight="false" outlineLevel="0" collapsed="false">
      <c r="A561" s="14" t="s">
        <v>94</v>
      </c>
      <c r="B561" s="15" t="n">
        <v>45929</v>
      </c>
      <c r="C561" s="14" t="n">
        <v>1867.39</v>
      </c>
      <c r="D561" s="14" t="n">
        <v>975060</v>
      </c>
      <c r="E561" s="16" t="n">
        <f aca="false">COUNTIFS($A$2:$A$1561,A561,$B$2:$B$1561,"&gt;"&amp;B561)+1</f>
        <v>221</v>
      </c>
      <c r="F561" s="16" t="n">
        <f aca="false">IF(A561=A560,C561-C560,"")</f>
        <v>6.91000000000008</v>
      </c>
      <c r="G561" s="16" t="n">
        <f aca="false">IF(A561=A560,IF(F561&gt;0,F561,0),"")</f>
        <v>6.91000000000008</v>
      </c>
      <c r="H561" s="16" t="n">
        <f aca="false">IF(A561=A560,IF(F561&lt;0,-F561,0),"")</f>
        <v>0</v>
      </c>
    </row>
    <row r="562" customFormat="false" ht="15" hidden="false" customHeight="false" outlineLevel="0" collapsed="false">
      <c r="A562" s="14" t="s">
        <v>94</v>
      </c>
      <c r="B562" s="15" t="n">
        <v>45930</v>
      </c>
      <c r="C562" s="14" t="n">
        <v>1866.52</v>
      </c>
      <c r="D562" s="14" t="n">
        <v>1069855</v>
      </c>
      <c r="E562" s="16" t="n">
        <f aca="false">COUNTIFS($A$2:$A$1561,A562,$B$2:$B$1561,"&gt;"&amp;B562)+1</f>
        <v>220</v>
      </c>
      <c r="F562" s="16" t="n">
        <f aca="false">IF(A562=A561,C562-C561,"")</f>
        <v>-0.870000000000118</v>
      </c>
      <c r="G562" s="16" t="n">
        <f aca="false">IF(A562=A561,IF(F562&gt;0,F562,0),"")</f>
        <v>0</v>
      </c>
      <c r="H562" s="16" t="n">
        <f aca="false">IF(A562=A561,IF(F562&lt;0,-F562,0),"")</f>
        <v>0.870000000000118</v>
      </c>
    </row>
    <row r="563" customFormat="false" ht="15" hidden="false" customHeight="false" outlineLevel="0" collapsed="false">
      <c r="A563" s="14" t="s">
        <v>94</v>
      </c>
      <c r="B563" s="15" t="n">
        <v>45931</v>
      </c>
      <c r="C563" s="14" t="n">
        <v>1875.88</v>
      </c>
      <c r="D563" s="14" t="n">
        <v>1397855</v>
      </c>
      <c r="E563" s="16" t="n">
        <f aca="false">COUNTIFS($A$2:$A$1561,A563,$B$2:$B$1561,"&gt;"&amp;B563)+1</f>
        <v>219</v>
      </c>
      <c r="F563" s="16" t="n">
        <f aca="false">IF(A563=A562,C563-C562,"")</f>
        <v>9.36000000000013</v>
      </c>
      <c r="G563" s="16" t="n">
        <f aca="false">IF(A563=A562,IF(F563&gt;0,F563,0),"")</f>
        <v>9.36000000000013</v>
      </c>
      <c r="H563" s="16" t="n">
        <f aca="false">IF(A563=A562,IF(F563&lt;0,-F563,0),"")</f>
        <v>0</v>
      </c>
    </row>
    <row r="564" customFormat="false" ht="15" hidden="false" customHeight="false" outlineLevel="0" collapsed="false">
      <c r="A564" s="14" t="s">
        <v>94</v>
      </c>
      <c r="B564" s="15" t="n">
        <v>45932</v>
      </c>
      <c r="C564" s="14" t="n">
        <v>1878.04</v>
      </c>
      <c r="D564" s="14" t="n">
        <v>1118935</v>
      </c>
      <c r="E564" s="16" t="n">
        <f aca="false">COUNTIFS($A$2:$A$1561,A564,$B$2:$B$1561,"&gt;"&amp;B564)+1</f>
        <v>218</v>
      </c>
      <c r="F564" s="16" t="n">
        <f aca="false">IF(A564=A563,C564-C563,"")</f>
        <v>2.15999999999985</v>
      </c>
      <c r="G564" s="16" t="n">
        <f aca="false">IF(A564=A563,IF(F564&gt;0,F564,0),"")</f>
        <v>2.15999999999985</v>
      </c>
      <c r="H564" s="16" t="n">
        <f aca="false">IF(A564=A563,IF(F564&lt;0,-F564,0),"")</f>
        <v>0</v>
      </c>
    </row>
    <row r="565" customFormat="false" ht="15" hidden="false" customHeight="false" outlineLevel="0" collapsed="false">
      <c r="A565" s="14" t="s">
        <v>94</v>
      </c>
      <c r="B565" s="15" t="n">
        <v>45933</v>
      </c>
      <c r="C565" s="14" t="n">
        <v>1889.49</v>
      </c>
      <c r="D565" s="14" t="n">
        <v>1438031</v>
      </c>
      <c r="E565" s="16" t="n">
        <f aca="false">COUNTIFS($A$2:$A$1561,A565,$B$2:$B$1561,"&gt;"&amp;B565)+1</f>
        <v>217</v>
      </c>
      <c r="F565" s="16" t="n">
        <f aca="false">IF(A565=A564,C565-C564,"")</f>
        <v>11.45</v>
      </c>
      <c r="G565" s="16" t="n">
        <f aca="false">IF(A565=A564,IF(F565&gt;0,F565,0),"")</f>
        <v>11.45</v>
      </c>
      <c r="H565" s="16" t="n">
        <f aca="false">IF(A565=A564,IF(F565&lt;0,-F565,0),"")</f>
        <v>0</v>
      </c>
    </row>
    <row r="566" customFormat="false" ht="15" hidden="false" customHeight="false" outlineLevel="0" collapsed="false">
      <c r="A566" s="14" t="s">
        <v>94</v>
      </c>
      <c r="B566" s="15" t="n">
        <v>45936</v>
      </c>
      <c r="C566" s="14" t="n">
        <v>1901.91</v>
      </c>
      <c r="D566" s="14" t="n">
        <v>1235681</v>
      </c>
      <c r="E566" s="16" t="n">
        <f aca="false">COUNTIFS($A$2:$A$1561,A566,$B$2:$B$1561,"&gt;"&amp;B566)+1</f>
        <v>216</v>
      </c>
      <c r="F566" s="16" t="n">
        <f aca="false">IF(A566=A565,C566-C565,"")</f>
        <v>12.4200000000001</v>
      </c>
      <c r="G566" s="16" t="n">
        <f aca="false">IF(A566=A565,IF(F566&gt;0,F566,0),"")</f>
        <v>12.4200000000001</v>
      </c>
      <c r="H566" s="16" t="n">
        <f aca="false">IF(A566=A565,IF(F566&lt;0,-F566,0),"")</f>
        <v>0</v>
      </c>
    </row>
    <row r="567" customFormat="false" ht="15" hidden="false" customHeight="false" outlineLevel="0" collapsed="false">
      <c r="A567" s="14" t="s">
        <v>94</v>
      </c>
      <c r="B567" s="15" t="n">
        <v>45937</v>
      </c>
      <c r="C567" s="14" t="n">
        <v>1918.24</v>
      </c>
      <c r="D567" s="14" t="n">
        <v>2468879</v>
      </c>
      <c r="E567" s="16" t="n">
        <f aca="false">COUNTIFS($A$2:$A$1561,A567,$B$2:$B$1561,"&gt;"&amp;B567)+1</f>
        <v>215</v>
      </c>
      <c r="F567" s="16" t="n">
        <f aca="false">IF(A567=A566,C567-C566,"")</f>
        <v>16.3299999999999</v>
      </c>
      <c r="G567" s="16" t="n">
        <f aca="false">IF(A567=A566,IF(F567&gt;0,F567,0),"")</f>
        <v>16.3299999999999</v>
      </c>
      <c r="H567" s="16" t="n">
        <f aca="false">IF(A567=A566,IF(F567&lt;0,-F567,0),"")</f>
        <v>0</v>
      </c>
    </row>
    <row r="568" customFormat="false" ht="15" hidden="false" customHeight="false" outlineLevel="0" collapsed="false">
      <c r="A568" s="14" t="s">
        <v>94</v>
      </c>
      <c r="B568" s="15" t="n">
        <v>45938</v>
      </c>
      <c r="C568" s="14" t="n">
        <v>1917.96</v>
      </c>
      <c r="D568" s="14" t="n">
        <v>1063543</v>
      </c>
      <c r="E568" s="16" t="n">
        <f aca="false">COUNTIFS($A$2:$A$1561,A568,$B$2:$B$1561,"&gt;"&amp;B568)+1</f>
        <v>214</v>
      </c>
      <c r="F568" s="16" t="n">
        <f aca="false">IF(A568=A567,C568-C567,"")</f>
        <v>-0.279999999999973</v>
      </c>
      <c r="G568" s="16" t="n">
        <f aca="false">IF(A568=A567,IF(F568&gt;0,F568,0),"")</f>
        <v>0</v>
      </c>
      <c r="H568" s="16" t="n">
        <f aca="false">IF(A568=A567,IF(F568&lt;0,-F568,0),"")</f>
        <v>0.279999999999973</v>
      </c>
    </row>
    <row r="569" customFormat="false" ht="15" hidden="false" customHeight="false" outlineLevel="0" collapsed="false">
      <c r="A569" s="14" t="s">
        <v>94</v>
      </c>
      <c r="B569" s="15" t="n">
        <v>45939</v>
      </c>
      <c r="C569" s="14" t="n">
        <v>1914.91</v>
      </c>
      <c r="D569" s="14" t="n">
        <v>1554919</v>
      </c>
      <c r="E569" s="16" t="n">
        <f aca="false">COUNTIFS($A$2:$A$1561,A569,$B$2:$B$1561,"&gt;"&amp;B569)+1</f>
        <v>213</v>
      </c>
      <c r="F569" s="16" t="n">
        <f aca="false">IF(A569=A568,C569-C568,"")</f>
        <v>-3.04999999999995</v>
      </c>
      <c r="G569" s="16" t="n">
        <f aca="false">IF(A569=A568,IF(F569&gt;0,F569,0),"")</f>
        <v>0</v>
      </c>
      <c r="H569" s="16" t="n">
        <f aca="false">IF(A569=A568,IF(F569&lt;0,-F569,0),"")</f>
        <v>3.04999999999995</v>
      </c>
    </row>
    <row r="570" customFormat="false" ht="15" hidden="false" customHeight="false" outlineLevel="0" collapsed="false">
      <c r="A570" s="14" t="s">
        <v>94</v>
      </c>
      <c r="B570" s="15" t="n">
        <v>45940</v>
      </c>
      <c r="C570" s="14" t="n">
        <v>1932.02</v>
      </c>
      <c r="D570" s="14" t="n">
        <v>2133782</v>
      </c>
      <c r="E570" s="16" t="n">
        <f aca="false">COUNTIFS($A$2:$A$1561,A570,$B$2:$B$1561,"&gt;"&amp;B570)+1</f>
        <v>212</v>
      </c>
      <c r="F570" s="16" t="n">
        <f aca="false">IF(A570=A569,C570-C569,"")</f>
        <v>17.1099999999999</v>
      </c>
      <c r="G570" s="16" t="n">
        <f aca="false">IF(A570=A569,IF(F570&gt;0,F570,0),"")</f>
        <v>17.1099999999999</v>
      </c>
      <c r="H570" s="16" t="n">
        <f aca="false">IF(A570=A569,IF(F570&lt;0,-F570,0),"")</f>
        <v>0</v>
      </c>
    </row>
    <row r="571" customFormat="false" ht="15" hidden="false" customHeight="false" outlineLevel="0" collapsed="false">
      <c r="A571" s="14" t="s">
        <v>94</v>
      </c>
      <c r="B571" s="15" t="n">
        <v>45943</v>
      </c>
      <c r="C571" s="14" t="n">
        <v>1943.54</v>
      </c>
      <c r="D571" s="14" t="n">
        <v>776797</v>
      </c>
      <c r="E571" s="16" t="n">
        <f aca="false">COUNTIFS($A$2:$A$1561,A571,$B$2:$B$1561,"&gt;"&amp;B571)+1</f>
        <v>211</v>
      </c>
      <c r="F571" s="16" t="n">
        <f aca="false">IF(A571=A570,C571-C570,"")</f>
        <v>11.52</v>
      </c>
      <c r="G571" s="16" t="n">
        <f aca="false">IF(A571=A570,IF(F571&gt;0,F571,0),"")</f>
        <v>11.52</v>
      </c>
      <c r="H571" s="16" t="n">
        <f aca="false">IF(A571=A570,IF(F571&lt;0,-F571,0),"")</f>
        <v>0</v>
      </c>
    </row>
    <row r="572" customFormat="false" ht="15" hidden="false" customHeight="false" outlineLevel="0" collapsed="false">
      <c r="A572" s="14" t="s">
        <v>94</v>
      </c>
      <c r="B572" s="15" t="n">
        <v>45944</v>
      </c>
      <c r="C572" s="14" t="n">
        <v>1935.84</v>
      </c>
      <c r="D572" s="14" t="n">
        <v>1782358</v>
      </c>
      <c r="E572" s="16" t="n">
        <f aca="false">COUNTIFS($A$2:$A$1561,A572,$B$2:$B$1561,"&gt;"&amp;B572)+1</f>
        <v>210</v>
      </c>
      <c r="F572" s="16" t="n">
        <f aca="false">IF(A572=A571,C572-C571,"")</f>
        <v>-7.70000000000005</v>
      </c>
      <c r="G572" s="16" t="n">
        <f aca="false">IF(A572=A571,IF(F572&gt;0,F572,0),"")</f>
        <v>0</v>
      </c>
      <c r="H572" s="16" t="n">
        <f aca="false">IF(A572=A571,IF(F572&lt;0,-F572,0),"")</f>
        <v>7.70000000000005</v>
      </c>
    </row>
    <row r="573" customFormat="false" ht="15" hidden="false" customHeight="false" outlineLevel="0" collapsed="false">
      <c r="A573" s="14" t="s">
        <v>94</v>
      </c>
      <c r="B573" s="15" t="n">
        <v>45945</v>
      </c>
      <c r="C573" s="14" t="n">
        <v>1949.92</v>
      </c>
      <c r="D573" s="14" t="n">
        <v>1609081</v>
      </c>
      <c r="E573" s="16" t="n">
        <f aca="false">COUNTIFS($A$2:$A$1561,A573,$B$2:$B$1561,"&gt;"&amp;B573)+1</f>
        <v>209</v>
      </c>
      <c r="F573" s="16" t="n">
        <f aca="false">IF(A573=A572,C573-C572,"")</f>
        <v>14.0800000000002</v>
      </c>
      <c r="G573" s="16" t="n">
        <f aca="false">IF(A573=A572,IF(F573&gt;0,F573,0),"")</f>
        <v>14.0800000000002</v>
      </c>
      <c r="H573" s="16" t="n">
        <f aca="false">IF(A573=A572,IF(F573&lt;0,-F573,0),"")</f>
        <v>0</v>
      </c>
    </row>
    <row r="574" customFormat="false" ht="15" hidden="false" customHeight="false" outlineLevel="0" collapsed="false">
      <c r="A574" s="14" t="s">
        <v>94</v>
      </c>
      <c r="B574" s="15" t="n">
        <v>45946</v>
      </c>
      <c r="C574" s="14" t="n">
        <v>1937.03</v>
      </c>
      <c r="D574" s="14" t="n">
        <v>2191784</v>
      </c>
      <c r="E574" s="16" t="n">
        <f aca="false">COUNTIFS($A$2:$A$1561,A574,$B$2:$B$1561,"&gt;"&amp;B574)+1</f>
        <v>208</v>
      </c>
      <c r="F574" s="16" t="n">
        <f aca="false">IF(A574=A573,C574-C573,"")</f>
        <v>-12.8900000000001</v>
      </c>
      <c r="G574" s="16" t="n">
        <f aca="false">IF(A574=A573,IF(F574&gt;0,F574,0),"")</f>
        <v>0</v>
      </c>
      <c r="H574" s="16" t="n">
        <f aca="false">IF(A574=A573,IF(F574&lt;0,-F574,0),"")</f>
        <v>12.8900000000001</v>
      </c>
    </row>
    <row r="575" customFormat="false" ht="15" hidden="false" customHeight="false" outlineLevel="0" collapsed="false">
      <c r="A575" s="14" t="s">
        <v>94</v>
      </c>
      <c r="B575" s="15" t="n">
        <v>45947</v>
      </c>
      <c r="C575" s="14" t="n">
        <v>1950.32</v>
      </c>
      <c r="D575" s="14" t="n">
        <v>1070126</v>
      </c>
      <c r="E575" s="16" t="n">
        <f aca="false">COUNTIFS($A$2:$A$1561,A575,$B$2:$B$1561,"&gt;"&amp;B575)+1</f>
        <v>207</v>
      </c>
      <c r="F575" s="16" t="n">
        <f aca="false">IF(A575=A574,C575-C574,"")</f>
        <v>13.29</v>
      </c>
      <c r="G575" s="16" t="n">
        <f aca="false">IF(A575=A574,IF(F575&gt;0,F575,0),"")</f>
        <v>13.29</v>
      </c>
      <c r="H575" s="16" t="n">
        <f aca="false">IF(A575=A574,IF(F575&lt;0,-F575,0),"")</f>
        <v>0</v>
      </c>
    </row>
    <row r="576" customFormat="false" ht="15" hidden="false" customHeight="false" outlineLevel="0" collapsed="false">
      <c r="A576" s="14" t="s">
        <v>94</v>
      </c>
      <c r="B576" s="15" t="n">
        <v>45950</v>
      </c>
      <c r="C576" s="14" t="n">
        <v>1960.61</v>
      </c>
      <c r="D576" s="14" t="n">
        <v>1045582</v>
      </c>
      <c r="E576" s="16" t="n">
        <f aca="false">COUNTIFS($A$2:$A$1561,A576,$B$2:$B$1561,"&gt;"&amp;B576)+1</f>
        <v>206</v>
      </c>
      <c r="F576" s="16" t="n">
        <f aca="false">IF(A576=A575,C576-C575,"")</f>
        <v>10.29</v>
      </c>
      <c r="G576" s="16" t="n">
        <f aca="false">IF(A576=A575,IF(F576&gt;0,F576,0),"")</f>
        <v>10.29</v>
      </c>
      <c r="H576" s="16" t="n">
        <f aca="false">IF(A576=A575,IF(F576&lt;0,-F576,0),"")</f>
        <v>0</v>
      </c>
    </row>
    <row r="577" customFormat="false" ht="15" hidden="false" customHeight="false" outlineLevel="0" collapsed="false">
      <c r="A577" s="14" t="s">
        <v>94</v>
      </c>
      <c r="B577" s="15" t="n">
        <v>45951</v>
      </c>
      <c r="C577" s="14" t="n">
        <v>1975.97</v>
      </c>
      <c r="D577" s="14" t="n">
        <v>794697</v>
      </c>
      <c r="E577" s="16" t="n">
        <f aca="false">COUNTIFS($A$2:$A$1561,A577,$B$2:$B$1561,"&gt;"&amp;B577)+1</f>
        <v>205</v>
      </c>
      <c r="F577" s="16" t="n">
        <f aca="false">IF(A577=A576,C577-C576,"")</f>
        <v>15.3600000000001</v>
      </c>
      <c r="G577" s="16" t="n">
        <f aca="false">IF(A577=A576,IF(F577&gt;0,F577,0),"")</f>
        <v>15.3600000000001</v>
      </c>
      <c r="H577" s="16" t="n">
        <f aca="false">IF(A577=A576,IF(F577&lt;0,-F577,0),"")</f>
        <v>0</v>
      </c>
    </row>
    <row r="578" customFormat="false" ht="15" hidden="false" customHeight="false" outlineLevel="0" collapsed="false">
      <c r="A578" s="14" t="s">
        <v>94</v>
      </c>
      <c r="B578" s="15" t="n">
        <v>45952</v>
      </c>
      <c r="C578" s="14" t="n">
        <v>1974.81</v>
      </c>
      <c r="D578" s="14" t="n">
        <v>2392826</v>
      </c>
      <c r="E578" s="16" t="n">
        <f aca="false">COUNTIFS($A$2:$A$1561,A578,$B$2:$B$1561,"&gt;"&amp;B578)+1</f>
        <v>204</v>
      </c>
      <c r="F578" s="16" t="n">
        <f aca="false">IF(A578=A577,C578-C577,"")</f>
        <v>-1.16000000000008</v>
      </c>
      <c r="G578" s="16" t="n">
        <f aca="false">IF(A578=A577,IF(F578&gt;0,F578,0),"")</f>
        <v>0</v>
      </c>
      <c r="H578" s="16" t="n">
        <f aca="false">IF(A578=A577,IF(F578&lt;0,-F578,0),"")</f>
        <v>1.16000000000008</v>
      </c>
    </row>
    <row r="579" customFormat="false" ht="15" hidden="false" customHeight="false" outlineLevel="0" collapsed="false">
      <c r="A579" s="14" t="s">
        <v>94</v>
      </c>
      <c r="B579" s="15" t="n">
        <v>45953</v>
      </c>
      <c r="C579" s="14" t="n">
        <v>1966</v>
      </c>
      <c r="D579" s="14" t="n">
        <v>1402255</v>
      </c>
      <c r="E579" s="16" t="n">
        <f aca="false">COUNTIFS($A$2:$A$1561,A579,$B$2:$B$1561,"&gt;"&amp;B579)+1</f>
        <v>203</v>
      </c>
      <c r="F579" s="16" t="n">
        <f aca="false">IF(A579=A578,C579-C578,"")</f>
        <v>-8.80999999999995</v>
      </c>
      <c r="G579" s="16" t="n">
        <f aca="false">IF(A579=A578,IF(F579&gt;0,F579,0),"")</f>
        <v>0</v>
      </c>
      <c r="H579" s="16" t="n">
        <f aca="false">IF(A579=A578,IF(F579&lt;0,-F579,0),"")</f>
        <v>8.80999999999995</v>
      </c>
    </row>
    <row r="580" customFormat="false" ht="15" hidden="false" customHeight="false" outlineLevel="0" collapsed="false">
      <c r="A580" s="14" t="s">
        <v>94</v>
      </c>
      <c r="B580" s="15" t="n">
        <v>45954</v>
      </c>
      <c r="C580" s="14" t="n">
        <v>1961.74</v>
      </c>
      <c r="D580" s="14" t="n">
        <v>553340</v>
      </c>
      <c r="E580" s="16" t="n">
        <f aca="false">COUNTIFS($A$2:$A$1561,A580,$B$2:$B$1561,"&gt;"&amp;B580)+1</f>
        <v>202</v>
      </c>
      <c r="F580" s="16" t="n">
        <f aca="false">IF(A580=A579,C580-C579,"")</f>
        <v>-4.25999999999999</v>
      </c>
      <c r="G580" s="16" t="n">
        <f aca="false">IF(A580=A579,IF(F580&gt;0,F580,0),"")</f>
        <v>0</v>
      </c>
      <c r="H580" s="16" t="n">
        <f aca="false">IF(A580=A579,IF(F580&lt;0,-F580,0),"")</f>
        <v>4.25999999999999</v>
      </c>
    </row>
    <row r="581" customFormat="false" ht="15" hidden="false" customHeight="false" outlineLevel="0" collapsed="false">
      <c r="A581" s="14" t="s">
        <v>94</v>
      </c>
      <c r="B581" s="15" t="n">
        <v>45957</v>
      </c>
      <c r="C581" s="14" t="n">
        <v>1947.02</v>
      </c>
      <c r="D581" s="14" t="n">
        <v>1504014</v>
      </c>
      <c r="E581" s="16" t="n">
        <f aca="false">COUNTIFS($A$2:$A$1561,A581,$B$2:$B$1561,"&gt;"&amp;B581)+1</f>
        <v>201</v>
      </c>
      <c r="F581" s="16" t="n">
        <f aca="false">IF(A581=A580,C581-C580,"")</f>
        <v>-14.72</v>
      </c>
      <c r="G581" s="16" t="n">
        <f aca="false">IF(A581=A580,IF(F581&gt;0,F581,0),"")</f>
        <v>0</v>
      </c>
      <c r="H581" s="16" t="n">
        <f aca="false">IF(A581=A580,IF(F581&lt;0,-F581,0),"")</f>
        <v>14.72</v>
      </c>
    </row>
    <row r="582" customFormat="false" ht="15" hidden="false" customHeight="false" outlineLevel="0" collapsed="false">
      <c r="A582" s="14" t="s">
        <v>94</v>
      </c>
      <c r="B582" s="15" t="n">
        <v>45958</v>
      </c>
      <c r="C582" s="14" t="n">
        <v>1938.81</v>
      </c>
      <c r="D582" s="14" t="n">
        <v>2489050</v>
      </c>
      <c r="E582" s="16" t="n">
        <f aca="false">COUNTIFS($A$2:$A$1561,A582,$B$2:$B$1561,"&gt;"&amp;B582)+1</f>
        <v>200</v>
      </c>
      <c r="F582" s="16" t="n">
        <f aca="false">IF(A582=A581,C582-C581,"")</f>
        <v>-8.21000000000004</v>
      </c>
      <c r="G582" s="16" t="n">
        <f aca="false">IF(A582=A581,IF(F582&gt;0,F582,0),"")</f>
        <v>0</v>
      </c>
      <c r="H582" s="16" t="n">
        <f aca="false">IF(A582=A581,IF(F582&lt;0,-F582,0),"")</f>
        <v>8.21000000000004</v>
      </c>
    </row>
    <row r="583" customFormat="false" ht="15" hidden="false" customHeight="false" outlineLevel="0" collapsed="false">
      <c r="A583" s="14" t="s">
        <v>94</v>
      </c>
      <c r="B583" s="15" t="n">
        <v>45959</v>
      </c>
      <c r="C583" s="14" t="n">
        <v>1935.5</v>
      </c>
      <c r="D583" s="14" t="n">
        <v>556375</v>
      </c>
      <c r="E583" s="16" t="n">
        <f aca="false">COUNTIFS($A$2:$A$1561,A583,$B$2:$B$1561,"&gt;"&amp;B583)+1</f>
        <v>199</v>
      </c>
      <c r="F583" s="16" t="n">
        <f aca="false">IF(A583=A582,C583-C582,"")</f>
        <v>-3.30999999999995</v>
      </c>
      <c r="G583" s="16" t="n">
        <f aca="false">IF(A583=A582,IF(F583&gt;0,F583,0),"")</f>
        <v>0</v>
      </c>
      <c r="H583" s="16" t="n">
        <f aca="false">IF(A583=A582,IF(F583&lt;0,-F583,0),"")</f>
        <v>3.30999999999995</v>
      </c>
    </row>
    <row r="584" customFormat="false" ht="15" hidden="false" customHeight="false" outlineLevel="0" collapsed="false">
      <c r="A584" s="14" t="s">
        <v>94</v>
      </c>
      <c r="B584" s="15" t="n">
        <v>45960</v>
      </c>
      <c r="C584" s="14" t="n">
        <v>1951.55</v>
      </c>
      <c r="D584" s="14" t="n">
        <v>2178352</v>
      </c>
      <c r="E584" s="16" t="n">
        <f aca="false">COUNTIFS($A$2:$A$1561,A584,$B$2:$B$1561,"&gt;"&amp;B584)+1</f>
        <v>198</v>
      </c>
      <c r="F584" s="16" t="n">
        <f aca="false">IF(A584=A583,C584-C583,"")</f>
        <v>16.05</v>
      </c>
      <c r="G584" s="16" t="n">
        <f aca="false">IF(A584=A583,IF(F584&gt;0,F584,0),"")</f>
        <v>16.05</v>
      </c>
      <c r="H584" s="16" t="n">
        <f aca="false">IF(A584=A583,IF(F584&lt;0,-F584,0),"")</f>
        <v>0</v>
      </c>
    </row>
    <row r="585" customFormat="false" ht="15" hidden="false" customHeight="false" outlineLevel="0" collapsed="false">
      <c r="A585" s="14" t="s">
        <v>94</v>
      </c>
      <c r="B585" s="15" t="n">
        <v>45961</v>
      </c>
      <c r="C585" s="14" t="n">
        <v>1957.87</v>
      </c>
      <c r="D585" s="14" t="n">
        <v>2082761</v>
      </c>
      <c r="E585" s="16" t="n">
        <f aca="false">COUNTIFS($A$2:$A$1561,A585,$B$2:$B$1561,"&gt;"&amp;B585)+1</f>
        <v>197</v>
      </c>
      <c r="F585" s="16" t="n">
        <f aca="false">IF(A585=A584,C585-C584,"")</f>
        <v>6.31999999999994</v>
      </c>
      <c r="G585" s="16" t="n">
        <f aca="false">IF(A585=A584,IF(F585&gt;0,F585,0),"")</f>
        <v>6.31999999999994</v>
      </c>
      <c r="H585" s="16" t="n">
        <f aca="false">IF(A585=A584,IF(F585&lt;0,-F585,0),"")</f>
        <v>0</v>
      </c>
    </row>
    <row r="586" customFormat="false" ht="15" hidden="false" customHeight="false" outlineLevel="0" collapsed="false">
      <c r="A586" s="14" t="s">
        <v>94</v>
      </c>
      <c r="B586" s="15" t="n">
        <v>45964</v>
      </c>
      <c r="C586" s="14" t="n">
        <v>1946.16</v>
      </c>
      <c r="D586" s="14" t="n">
        <v>1073758</v>
      </c>
      <c r="E586" s="16" t="n">
        <f aca="false">COUNTIFS($A$2:$A$1561,A586,$B$2:$B$1561,"&gt;"&amp;B586)+1</f>
        <v>196</v>
      </c>
      <c r="F586" s="16" t="n">
        <f aca="false">IF(A586=A585,C586-C585,"")</f>
        <v>-11.7099999999998</v>
      </c>
      <c r="G586" s="16" t="n">
        <f aca="false">IF(A586=A585,IF(F586&gt;0,F586,0),"")</f>
        <v>0</v>
      </c>
      <c r="H586" s="16" t="n">
        <f aca="false">IF(A586=A585,IF(F586&lt;0,-F586,0),"")</f>
        <v>11.7099999999998</v>
      </c>
    </row>
    <row r="587" customFormat="false" ht="15" hidden="false" customHeight="false" outlineLevel="0" collapsed="false">
      <c r="A587" s="14" t="s">
        <v>94</v>
      </c>
      <c r="B587" s="15" t="n">
        <v>45965</v>
      </c>
      <c r="C587" s="14" t="n">
        <v>1958.76</v>
      </c>
      <c r="D587" s="14" t="n">
        <v>1892143</v>
      </c>
      <c r="E587" s="16" t="n">
        <f aca="false">COUNTIFS($A$2:$A$1561,A587,$B$2:$B$1561,"&gt;"&amp;B587)+1</f>
        <v>195</v>
      </c>
      <c r="F587" s="16" t="n">
        <f aca="false">IF(A587=A586,C587-C586,"")</f>
        <v>12.5999999999999</v>
      </c>
      <c r="G587" s="16" t="n">
        <f aca="false">IF(A587=A586,IF(F587&gt;0,F587,0),"")</f>
        <v>12.5999999999999</v>
      </c>
      <c r="H587" s="16" t="n">
        <f aca="false">IF(A587=A586,IF(F587&lt;0,-F587,0),"")</f>
        <v>0</v>
      </c>
    </row>
    <row r="588" customFormat="false" ht="15" hidden="false" customHeight="false" outlineLevel="0" collapsed="false">
      <c r="A588" s="14" t="s">
        <v>94</v>
      </c>
      <c r="B588" s="15" t="n">
        <v>45966</v>
      </c>
      <c r="C588" s="14" t="n">
        <v>1947.08</v>
      </c>
      <c r="D588" s="14" t="n">
        <v>1911072</v>
      </c>
      <c r="E588" s="16" t="n">
        <f aca="false">COUNTIFS($A$2:$A$1561,A588,$B$2:$B$1561,"&gt;"&amp;B588)+1</f>
        <v>194</v>
      </c>
      <c r="F588" s="16" t="n">
        <f aca="false">IF(A588=A587,C588-C587,"")</f>
        <v>-11.6800000000001</v>
      </c>
      <c r="G588" s="16" t="n">
        <f aca="false">IF(A588=A587,IF(F588&gt;0,F588,0),"")</f>
        <v>0</v>
      </c>
      <c r="H588" s="16" t="n">
        <f aca="false">IF(A588=A587,IF(F588&lt;0,-F588,0),"")</f>
        <v>11.6800000000001</v>
      </c>
    </row>
    <row r="589" customFormat="false" ht="15" hidden="false" customHeight="false" outlineLevel="0" collapsed="false">
      <c r="A589" s="14" t="s">
        <v>94</v>
      </c>
      <c r="B589" s="15" t="n">
        <v>45967</v>
      </c>
      <c r="C589" s="14" t="n">
        <v>1946.33</v>
      </c>
      <c r="D589" s="14" t="n">
        <v>510502</v>
      </c>
      <c r="E589" s="16" t="n">
        <f aca="false">COUNTIFS($A$2:$A$1561,A589,$B$2:$B$1561,"&gt;"&amp;B589)+1</f>
        <v>193</v>
      </c>
      <c r="F589" s="16" t="n">
        <f aca="false">IF(A589=A588,C589-C588,"")</f>
        <v>-0.75</v>
      </c>
      <c r="G589" s="16" t="n">
        <f aca="false">IF(A589=A588,IF(F589&gt;0,F589,0),"")</f>
        <v>0</v>
      </c>
      <c r="H589" s="16" t="n">
        <f aca="false">IF(A589=A588,IF(F589&lt;0,-F589,0),"")</f>
        <v>0.75</v>
      </c>
    </row>
    <row r="590" customFormat="false" ht="15" hidden="false" customHeight="false" outlineLevel="0" collapsed="false">
      <c r="A590" s="14" t="s">
        <v>94</v>
      </c>
      <c r="B590" s="15" t="n">
        <v>45968</v>
      </c>
      <c r="C590" s="14" t="n">
        <v>1932.64</v>
      </c>
      <c r="D590" s="14" t="n">
        <v>1011847</v>
      </c>
      <c r="E590" s="16" t="n">
        <f aca="false">COUNTIFS($A$2:$A$1561,A590,$B$2:$B$1561,"&gt;"&amp;B590)+1</f>
        <v>192</v>
      </c>
      <c r="F590" s="16" t="n">
        <f aca="false">IF(A590=A589,C590-C589,"")</f>
        <v>-13.6899999999998</v>
      </c>
      <c r="G590" s="16" t="n">
        <f aca="false">IF(A590=A589,IF(F590&gt;0,F590,0),"")</f>
        <v>0</v>
      </c>
      <c r="H590" s="16" t="n">
        <f aca="false">IF(A590=A589,IF(F590&lt;0,-F590,0),"")</f>
        <v>13.6899999999998</v>
      </c>
    </row>
    <row r="591" customFormat="false" ht="15" hidden="false" customHeight="false" outlineLevel="0" collapsed="false">
      <c r="A591" s="14" t="s">
        <v>94</v>
      </c>
      <c r="B591" s="15" t="n">
        <v>45971</v>
      </c>
      <c r="C591" s="14" t="n">
        <v>1945.34</v>
      </c>
      <c r="D591" s="14" t="n">
        <v>1597608</v>
      </c>
      <c r="E591" s="16" t="n">
        <f aca="false">COUNTIFS($A$2:$A$1561,A591,$B$2:$B$1561,"&gt;"&amp;B591)+1</f>
        <v>191</v>
      </c>
      <c r="F591" s="16" t="n">
        <f aca="false">IF(A591=A590,C591-C590,"")</f>
        <v>12.6999999999998</v>
      </c>
      <c r="G591" s="16" t="n">
        <f aca="false">IF(A591=A590,IF(F591&gt;0,F591,0),"")</f>
        <v>12.6999999999998</v>
      </c>
      <c r="H591" s="16" t="n">
        <f aca="false">IF(A591=A590,IF(F591&lt;0,-F591,0),"")</f>
        <v>0</v>
      </c>
    </row>
    <row r="592" customFormat="false" ht="15" hidden="false" customHeight="false" outlineLevel="0" collapsed="false">
      <c r="A592" s="14" t="s">
        <v>94</v>
      </c>
      <c r="B592" s="15" t="n">
        <v>45972</v>
      </c>
      <c r="C592" s="14" t="n">
        <v>1954.35</v>
      </c>
      <c r="D592" s="14" t="n">
        <v>1555543</v>
      </c>
      <c r="E592" s="16" t="n">
        <f aca="false">COUNTIFS($A$2:$A$1561,A592,$B$2:$B$1561,"&gt;"&amp;B592)+1</f>
        <v>190</v>
      </c>
      <c r="F592" s="16" t="n">
        <f aca="false">IF(A592=A591,C592-C591,"")</f>
        <v>9.00999999999999</v>
      </c>
      <c r="G592" s="16" t="n">
        <f aca="false">IF(A592=A591,IF(F592&gt;0,F592,0),"")</f>
        <v>9.00999999999999</v>
      </c>
      <c r="H592" s="16" t="n">
        <f aca="false">IF(A592=A591,IF(F592&lt;0,-F592,0),"")</f>
        <v>0</v>
      </c>
    </row>
    <row r="593" customFormat="false" ht="15" hidden="false" customHeight="false" outlineLevel="0" collapsed="false">
      <c r="A593" s="14" t="s">
        <v>94</v>
      </c>
      <c r="B593" s="15" t="n">
        <v>45973</v>
      </c>
      <c r="C593" s="14" t="n">
        <v>1941.72</v>
      </c>
      <c r="D593" s="14" t="n">
        <v>1076203</v>
      </c>
      <c r="E593" s="16" t="n">
        <f aca="false">COUNTIFS($A$2:$A$1561,A593,$B$2:$B$1561,"&gt;"&amp;B593)+1</f>
        <v>189</v>
      </c>
      <c r="F593" s="16" t="n">
        <f aca="false">IF(A593=A592,C593-C592,"")</f>
        <v>-12.6299999999999</v>
      </c>
      <c r="G593" s="16" t="n">
        <f aca="false">IF(A593=A592,IF(F593&gt;0,F593,0),"")</f>
        <v>0</v>
      </c>
      <c r="H593" s="16" t="n">
        <f aca="false">IF(A593=A592,IF(F593&lt;0,-F593,0),"")</f>
        <v>12.6299999999999</v>
      </c>
    </row>
    <row r="594" customFormat="false" ht="15" hidden="false" customHeight="false" outlineLevel="0" collapsed="false">
      <c r="A594" s="14" t="s">
        <v>94</v>
      </c>
      <c r="B594" s="15" t="n">
        <v>45974</v>
      </c>
      <c r="C594" s="14" t="n">
        <v>1935.82</v>
      </c>
      <c r="D594" s="14" t="n">
        <v>595498</v>
      </c>
      <c r="E594" s="16" t="n">
        <f aca="false">COUNTIFS($A$2:$A$1561,A594,$B$2:$B$1561,"&gt;"&amp;B594)+1</f>
        <v>188</v>
      </c>
      <c r="F594" s="16" t="n">
        <f aca="false">IF(A594=A593,C594-C593,"")</f>
        <v>-5.90000000000009</v>
      </c>
      <c r="G594" s="16" t="n">
        <f aca="false">IF(A594=A593,IF(F594&gt;0,F594,0),"")</f>
        <v>0</v>
      </c>
      <c r="H594" s="16" t="n">
        <f aca="false">IF(A594=A593,IF(F594&lt;0,-F594,0),"")</f>
        <v>5.90000000000009</v>
      </c>
    </row>
    <row r="595" customFormat="false" ht="15" hidden="false" customHeight="false" outlineLevel="0" collapsed="false">
      <c r="A595" s="14" t="s">
        <v>94</v>
      </c>
      <c r="B595" s="15" t="n">
        <v>45975</v>
      </c>
      <c r="C595" s="14" t="n">
        <v>1934.07</v>
      </c>
      <c r="D595" s="14" t="n">
        <v>2087798</v>
      </c>
      <c r="E595" s="16" t="n">
        <f aca="false">COUNTIFS($A$2:$A$1561,A595,$B$2:$B$1561,"&gt;"&amp;B595)+1</f>
        <v>187</v>
      </c>
      <c r="F595" s="16" t="n">
        <f aca="false">IF(A595=A594,C595-C594,"")</f>
        <v>-1.75</v>
      </c>
      <c r="G595" s="16" t="n">
        <f aca="false">IF(A595=A594,IF(F595&gt;0,F595,0),"")</f>
        <v>0</v>
      </c>
      <c r="H595" s="16" t="n">
        <f aca="false">IF(A595=A594,IF(F595&lt;0,-F595,0),"")</f>
        <v>1.75</v>
      </c>
    </row>
    <row r="596" customFormat="false" ht="15" hidden="false" customHeight="false" outlineLevel="0" collapsed="false">
      <c r="A596" s="14" t="s">
        <v>94</v>
      </c>
      <c r="B596" s="15" t="n">
        <v>45978</v>
      </c>
      <c r="C596" s="14" t="n">
        <v>1933.63</v>
      </c>
      <c r="D596" s="14" t="n">
        <v>721715</v>
      </c>
      <c r="E596" s="16" t="n">
        <f aca="false">COUNTIFS($A$2:$A$1561,A596,$B$2:$B$1561,"&gt;"&amp;B596)+1</f>
        <v>186</v>
      </c>
      <c r="F596" s="16" t="n">
        <f aca="false">IF(A596=A595,C596-C595,"")</f>
        <v>-0.439999999999827</v>
      </c>
      <c r="G596" s="16" t="n">
        <f aca="false">IF(A596=A595,IF(F596&gt;0,F596,0),"")</f>
        <v>0</v>
      </c>
      <c r="H596" s="16" t="n">
        <f aca="false">IF(A596=A595,IF(F596&lt;0,-F596,0),"")</f>
        <v>0.439999999999827</v>
      </c>
    </row>
    <row r="597" customFormat="false" ht="15" hidden="false" customHeight="false" outlineLevel="0" collapsed="false">
      <c r="A597" s="14" t="s">
        <v>94</v>
      </c>
      <c r="B597" s="15" t="n">
        <v>45979</v>
      </c>
      <c r="C597" s="14" t="n">
        <v>1948.77</v>
      </c>
      <c r="D597" s="14" t="n">
        <v>1693478</v>
      </c>
      <c r="E597" s="16" t="n">
        <f aca="false">COUNTIFS($A$2:$A$1561,A597,$B$2:$B$1561,"&gt;"&amp;B597)+1</f>
        <v>185</v>
      </c>
      <c r="F597" s="16" t="n">
        <f aca="false">IF(A597=A596,C597-C596,"")</f>
        <v>15.1399999999999</v>
      </c>
      <c r="G597" s="16" t="n">
        <f aca="false">IF(A597=A596,IF(F597&gt;0,F597,0),"")</f>
        <v>15.1399999999999</v>
      </c>
      <c r="H597" s="16" t="n">
        <f aca="false">IF(A597=A596,IF(F597&lt;0,-F597,0),"")</f>
        <v>0</v>
      </c>
    </row>
    <row r="598" customFormat="false" ht="15" hidden="false" customHeight="false" outlineLevel="0" collapsed="false">
      <c r="A598" s="14" t="s">
        <v>94</v>
      </c>
      <c r="B598" s="15" t="n">
        <v>45980</v>
      </c>
      <c r="C598" s="14" t="n">
        <v>1932.86</v>
      </c>
      <c r="D598" s="14" t="n">
        <v>1530751</v>
      </c>
      <c r="E598" s="16" t="n">
        <f aca="false">COUNTIFS($A$2:$A$1561,A598,$B$2:$B$1561,"&gt;"&amp;B598)+1</f>
        <v>184</v>
      </c>
      <c r="F598" s="16" t="n">
        <f aca="false">IF(A598=A597,C598-C597,"")</f>
        <v>-15.9100000000001</v>
      </c>
      <c r="G598" s="16" t="n">
        <f aca="false">IF(A598=A597,IF(F598&gt;0,F598,0),"")</f>
        <v>0</v>
      </c>
      <c r="H598" s="16" t="n">
        <f aca="false">IF(A598=A597,IF(F598&lt;0,-F598,0),"")</f>
        <v>15.9100000000001</v>
      </c>
    </row>
    <row r="599" customFormat="false" ht="15" hidden="false" customHeight="false" outlineLevel="0" collapsed="false">
      <c r="A599" s="14" t="s">
        <v>94</v>
      </c>
      <c r="B599" s="15" t="n">
        <v>45981</v>
      </c>
      <c r="C599" s="14" t="n">
        <v>1924.93</v>
      </c>
      <c r="D599" s="14" t="n">
        <v>787153</v>
      </c>
      <c r="E599" s="16" t="n">
        <f aca="false">COUNTIFS($A$2:$A$1561,A599,$B$2:$B$1561,"&gt;"&amp;B599)+1</f>
        <v>183</v>
      </c>
      <c r="F599" s="16" t="n">
        <f aca="false">IF(A599=A598,C599-C598,"")</f>
        <v>-7.92999999999984</v>
      </c>
      <c r="G599" s="16" t="n">
        <f aca="false">IF(A599=A598,IF(F599&gt;0,F599,0),"")</f>
        <v>0</v>
      </c>
      <c r="H599" s="16" t="n">
        <f aca="false">IF(A599=A598,IF(F599&lt;0,-F599,0),"")</f>
        <v>7.92999999999984</v>
      </c>
    </row>
    <row r="600" customFormat="false" ht="15" hidden="false" customHeight="false" outlineLevel="0" collapsed="false">
      <c r="A600" s="14" t="s">
        <v>94</v>
      </c>
      <c r="B600" s="15" t="n">
        <v>45982</v>
      </c>
      <c r="C600" s="14" t="n">
        <v>1923.51</v>
      </c>
      <c r="D600" s="14" t="n">
        <v>1729619</v>
      </c>
      <c r="E600" s="16" t="n">
        <f aca="false">COUNTIFS($A$2:$A$1561,A600,$B$2:$B$1561,"&gt;"&amp;B600)+1</f>
        <v>182</v>
      </c>
      <c r="F600" s="16" t="n">
        <f aca="false">IF(A600=A599,C600-C599,"")</f>
        <v>-1.42000000000007</v>
      </c>
      <c r="G600" s="16" t="n">
        <f aca="false">IF(A600=A599,IF(F600&gt;0,F600,0),"")</f>
        <v>0</v>
      </c>
      <c r="H600" s="16" t="n">
        <f aca="false">IF(A600=A599,IF(F600&lt;0,-F600,0),"")</f>
        <v>1.42000000000007</v>
      </c>
    </row>
    <row r="601" customFormat="false" ht="15" hidden="false" customHeight="false" outlineLevel="0" collapsed="false">
      <c r="A601" s="14" t="s">
        <v>94</v>
      </c>
      <c r="B601" s="15" t="n">
        <v>45985</v>
      </c>
      <c r="C601" s="14" t="n">
        <v>1915.57</v>
      </c>
      <c r="D601" s="14" t="n">
        <v>1333135</v>
      </c>
      <c r="E601" s="16" t="n">
        <f aca="false">COUNTIFS($A$2:$A$1561,A601,$B$2:$B$1561,"&gt;"&amp;B601)+1</f>
        <v>181</v>
      </c>
      <c r="F601" s="16" t="n">
        <f aca="false">IF(A601=A600,C601-C600,"")</f>
        <v>-7.94000000000006</v>
      </c>
      <c r="G601" s="16" t="n">
        <f aca="false">IF(A601=A600,IF(F601&gt;0,F601,0),"")</f>
        <v>0</v>
      </c>
      <c r="H601" s="16" t="n">
        <f aca="false">IF(A601=A600,IF(F601&lt;0,-F601,0),"")</f>
        <v>7.94000000000006</v>
      </c>
    </row>
    <row r="602" customFormat="false" ht="15" hidden="false" customHeight="false" outlineLevel="0" collapsed="false">
      <c r="A602" s="14" t="s">
        <v>94</v>
      </c>
      <c r="B602" s="15" t="n">
        <v>45986</v>
      </c>
      <c r="C602" s="14" t="n">
        <v>1922.27</v>
      </c>
      <c r="D602" s="14" t="n">
        <v>671227</v>
      </c>
      <c r="E602" s="16" t="n">
        <f aca="false">COUNTIFS($A$2:$A$1561,A602,$B$2:$B$1561,"&gt;"&amp;B602)+1</f>
        <v>180</v>
      </c>
      <c r="F602" s="16" t="n">
        <f aca="false">IF(A602=A601,C602-C601,"")</f>
        <v>6.70000000000005</v>
      </c>
      <c r="G602" s="16" t="n">
        <f aca="false">IF(A602=A601,IF(F602&gt;0,F602,0),"")</f>
        <v>6.70000000000005</v>
      </c>
      <c r="H602" s="16" t="n">
        <f aca="false">IF(A602=A601,IF(F602&lt;0,-F602,0),"")</f>
        <v>0</v>
      </c>
    </row>
    <row r="603" customFormat="false" ht="15" hidden="false" customHeight="false" outlineLevel="0" collapsed="false">
      <c r="A603" s="14" t="s">
        <v>94</v>
      </c>
      <c r="B603" s="15" t="n">
        <v>45987</v>
      </c>
      <c r="C603" s="14" t="n">
        <v>1939.73</v>
      </c>
      <c r="D603" s="14" t="n">
        <v>635358</v>
      </c>
      <c r="E603" s="16" t="n">
        <f aca="false">COUNTIFS($A$2:$A$1561,A603,$B$2:$B$1561,"&gt;"&amp;B603)+1</f>
        <v>179</v>
      </c>
      <c r="F603" s="16" t="n">
        <f aca="false">IF(A603=A602,C603-C602,"")</f>
        <v>17.46</v>
      </c>
      <c r="G603" s="16" t="n">
        <f aca="false">IF(A603=A602,IF(F603&gt;0,F603,0),"")</f>
        <v>17.46</v>
      </c>
      <c r="H603" s="16" t="n">
        <f aca="false">IF(A603=A602,IF(F603&lt;0,-F603,0),"")</f>
        <v>0</v>
      </c>
    </row>
    <row r="604" customFormat="false" ht="15" hidden="false" customHeight="false" outlineLevel="0" collapsed="false">
      <c r="A604" s="14" t="s">
        <v>94</v>
      </c>
      <c r="B604" s="15" t="n">
        <v>45988</v>
      </c>
      <c r="C604" s="14" t="n">
        <v>1941.69</v>
      </c>
      <c r="D604" s="14" t="n">
        <v>1514655</v>
      </c>
      <c r="E604" s="16" t="n">
        <f aca="false">COUNTIFS($A$2:$A$1561,A604,$B$2:$B$1561,"&gt;"&amp;B604)+1</f>
        <v>178</v>
      </c>
      <c r="F604" s="16" t="n">
        <f aca="false">IF(A604=A603,C604-C603,"")</f>
        <v>1.96000000000004</v>
      </c>
      <c r="G604" s="16" t="n">
        <f aca="false">IF(A604=A603,IF(F604&gt;0,F604,0),"")</f>
        <v>1.96000000000004</v>
      </c>
      <c r="H604" s="16" t="n">
        <f aca="false">IF(A604=A603,IF(F604&lt;0,-F604,0),"")</f>
        <v>0</v>
      </c>
    </row>
    <row r="605" customFormat="false" ht="15" hidden="false" customHeight="false" outlineLevel="0" collapsed="false">
      <c r="A605" s="14" t="s">
        <v>94</v>
      </c>
      <c r="B605" s="15" t="n">
        <v>45989</v>
      </c>
      <c r="C605" s="14" t="n">
        <v>1959.81</v>
      </c>
      <c r="D605" s="14" t="n">
        <v>1608303</v>
      </c>
      <c r="E605" s="16" t="n">
        <f aca="false">COUNTIFS($A$2:$A$1561,A605,$B$2:$B$1561,"&gt;"&amp;B605)+1</f>
        <v>177</v>
      </c>
      <c r="F605" s="16" t="n">
        <f aca="false">IF(A605=A604,C605-C604,"")</f>
        <v>18.1199999999999</v>
      </c>
      <c r="G605" s="16" t="n">
        <f aca="false">IF(A605=A604,IF(F605&gt;0,F605,0),"")</f>
        <v>18.1199999999999</v>
      </c>
      <c r="H605" s="16" t="n">
        <f aca="false">IF(A605=A604,IF(F605&lt;0,-F605,0),"")</f>
        <v>0</v>
      </c>
    </row>
    <row r="606" customFormat="false" ht="15" hidden="false" customHeight="false" outlineLevel="0" collapsed="false">
      <c r="A606" s="14" t="s">
        <v>94</v>
      </c>
      <c r="B606" s="15" t="n">
        <v>45992</v>
      </c>
      <c r="C606" s="14" t="n">
        <v>1957</v>
      </c>
      <c r="D606" s="14" t="n">
        <v>1440270</v>
      </c>
      <c r="E606" s="16" t="n">
        <f aca="false">COUNTIFS($A$2:$A$1561,A606,$B$2:$B$1561,"&gt;"&amp;B606)+1</f>
        <v>176</v>
      </c>
      <c r="F606" s="16" t="n">
        <f aca="false">IF(A606=A605,C606-C605,"")</f>
        <v>-2.80999999999995</v>
      </c>
      <c r="G606" s="16" t="n">
        <f aca="false">IF(A606=A605,IF(F606&gt;0,F606,0),"")</f>
        <v>0</v>
      </c>
      <c r="H606" s="16" t="n">
        <f aca="false">IF(A606=A605,IF(F606&lt;0,-F606,0),"")</f>
        <v>2.80999999999995</v>
      </c>
    </row>
    <row r="607" customFormat="false" ht="15" hidden="false" customHeight="false" outlineLevel="0" collapsed="false">
      <c r="A607" s="14" t="s">
        <v>94</v>
      </c>
      <c r="B607" s="15" t="n">
        <v>45993</v>
      </c>
      <c r="C607" s="14" t="n">
        <v>1962.84</v>
      </c>
      <c r="D607" s="14" t="n">
        <v>2462078</v>
      </c>
      <c r="E607" s="16" t="n">
        <f aca="false">COUNTIFS($A$2:$A$1561,A607,$B$2:$B$1561,"&gt;"&amp;B607)+1</f>
        <v>175</v>
      </c>
      <c r="F607" s="16" t="n">
        <f aca="false">IF(A607=A606,C607-C606,"")</f>
        <v>5.83999999999992</v>
      </c>
      <c r="G607" s="16" t="n">
        <f aca="false">IF(A607=A606,IF(F607&gt;0,F607,0),"")</f>
        <v>5.83999999999992</v>
      </c>
      <c r="H607" s="16" t="n">
        <f aca="false">IF(A607=A606,IF(F607&lt;0,-F607,0),"")</f>
        <v>0</v>
      </c>
    </row>
    <row r="608" customFormat="false" ht="15" hidden="false" customHeight="false" outlineLevel="0" collapsed="false">
      <c r="A608" s="14" t="s">
        <v>94</v>
      </c>
      <c r="B608" s="15" t="n">
        <v>45994</v>
      </c>
      <c r="C608" s="14" t="n">
        <v>1955.19</v>
      </c>
      <c r="D608" s="14" t="n">
        <v>532484</v>
      </c>
      <c r="E608" s="16" t="n">
        <f aca="false">COUNTIFS($A$2:$A$1561,A608,$B$2:$B$1561,"&gt;"&amp;B608)+1</f>
        <v>174</v>
      </c>
      <c r="F608" s="16" t="n">
        <f aca="false">IF(A608=A607,C608-C607,"")</f>
        <v>-7.64999999999986</v>
      </c>
      <c r="G608" s="16" t="n">
        <f aca="false">IF(A608=A607,IF(F608&gt;0,F608,0),"")</f>
        <v>0</v>
      </c>
      <c r="H608" s="16" t="n">
        <f aca="false">IF(A608=A607,IF(F608&lt;0,-F608,0),"")</f>
        <v>7.64999999999986</v>
      </c>
    </row>
    <row r="609" customFormat="false" ht="15" hidden="false" customHeight="false" outlineLevel="0" collapsed="false">
      <c r="A609" s="14" t="s">
        <v>94</v>
      </c>
      <c r="B609" s="15" t="n">
        <v>45995</v>
      </c>
      <c r="C609" s="14" t="n">
        <v>1966.4</v>
      </c>
      <c r="D609" s="14" t="n">
        <v>1189604</v>
      </c>
      <c r="E609" s="16" t="n">
        <f aca="false">COUNTIFS($A$2:$A$1561,A609,$B$2:$B$1561,"&gt;"&amp;B609)+1</f>
        <v>173</v>
      </c>
      <c r="F609" s="16" t="n">
        <f aca="false">IF(A609=A608,C609-C608,"")</f>
        <v>11.21</v>
      </c>
      <c r="G609" s="16" t="n">
        <f aca="false">IF(A609=A608,IF(F609&gt;0,F609,0),"")</f>
        <v>11.21</v>
      </c>
      <c r="H609" s="16" t="n">
        <f aca="false">IF(A609=A608,IF(F609&lt;0,-F609,0),"")</f>
        <v>0</v>
      </c>
    </row>
    <row r="610" customFormat="false" ht="15" hidden="false" customHeight="false" outlineLevel="0" collapsed="false">
      <c r="A610" s="14" t="s">
        <v>94</v>
      </c>
      <c r="B610" s="15" t="n">
        <v>45996</v>
      </c>
      <c r="C610" s="14" t="n">
        <v>1975.71</v>
      </c>
      <c r="D610" s="14" t="n">
        <v>1756513</v>
      </c>
      <c r="E610" s="16" t="n">
        <f aca="false">COUNTIFS($A$2:$A$1561,A610,$B$2:$B$1561,"&gt;"&amp;B610)+1</f>
        <v>172</v>
      </c>
      <c r="F610" s="16" t="n">
        <f aca="false">IF(A610=A609,C610-C609,"")</f>
        <v>9.30999999999995</v>
      </c>
      <c r="G610" s="16" t="n">
        <f aca="false">IF(A610=A609,IF(F610&gt;0,F610,0),"")</f>
        <v>9.30999999999995</v>
      </c>
      <c r="H610" s="16" t="n">
        <f aca="false">IF(A610=A609,IF(F610&lt;0,-F610,0),"")</f>
        <v>0</v>
      </c>
    </row>
    <row r="611" customFormat="false" ht="15" hidden="false" customHeight="false" outlineLevel="0" collapsed="false">
      <c r="A611" s="14" t="s">
        <v>94</v>
      </c>
      <c r="B611" s="15" t="n">
        <v>45999</v>
      </c>
      <c r="C611" s="14" t="n">
        <v>1986.43</v>
      </c>
      <c r="D611" s="14" t="n">
        <v>1970373</v>
      </c>
      <c r="E611" s="16" t="n">
        <f aca="false">COUNTIFS($A$2:$A$1561,A611,$B$2:$B$1561,"&gt;"&amp;B611)+1</f>
        <v>171</v>
      </c>
      <c r="F611" s="16" t="n">
        <f aca="false">IF(A611=A610,C611-C610,"")</f>
        <v>10.72</v>
      </c>
      <c r="G611" s="16" t="n">
        <f aca="false">IF(A611=A610,IF(F611&gt;0,F611,0),"")</f>
        <v>10.72</v>
      </c>
      <c r="H611" s="16" t="n">
        <f aca="false">IF(A611=A610,IF(F611&lt;0,-F611,0),"")</f>
        <v>0</v>
      </c>
    </row>
    <row r="612" customFormat="false" ht="15" hidden="false" customHeight="false" outlineLevel="0" collapsed="false">
      <c r="A612" s="14" t="s">
        <v>94</v>
      </c>
      <c r="B612" s="15" t="n">
        <v>46000</v>
      </c>
      <c r="C612" s="14" t="n">
        <v>1981.52</v>
      </c>
      <c r="D612" s="14" t="n">
        <v>588671</v>
      </c>
      <c r="E612" s="16" t="n">
        <f aca="false">COUNTIFS($A$2:$A$1561,A612,$B$2:$B$1561,"&gt;"&amp;B612)+1</f>
        <v>170</v>
      </c>
      <c r="F612" s="16" t="n">
        <f aca="false">IF(A612=A611,C612-C611,"")</f>
        <v>-4.91000000000008</v>
      </c>
      <c r="G612" s="16" t="n">
        <f aca="false">IF(A612=A611,IF(F612&gt;0,F612,0),"")</f>
        <v>0</v>
      </c>
      <c r="H612" s="16" t="n">
        <f aca="false">IF(A612=A611,IF(F612&lt;0,-F612,0),"")</f>
        <v>4.91000000000008</v>
      </c>
    </row>
    <row r="613" customFormat="false" ht="15" hidden="false" customHeight="false" outlineLevel="0" collapsed="false">
      <c r="A613" s="14" t="s">
        <v>94</v>
      </c>
      <c r="B613" s="15" t="n">
        <v>46001</v>
      </c>
      <c r="C613" s="14" t="n">
        <v>1984.23</v>
      </c>
      <c r="D613" s="14" t="n">
        <v>2127017</v>
      </c>
      <c r="E613" s="16" t="n">
        <f aca="false">COUNTIFS($A$2:$A$1561,A613,$B$2:$B$1561,"&gt;"&amp;B613)+1</f>
        <v>169</v>
      </c>
      <c r="F613" s="16" t="n">
        <f aca="false">IF(A613=A612,C613-C612,"")</f>
        <v>2.71000000000004</v>
      </c>
      <c r="G613" s="16" t="n">
        <f aca="false">IF(A613=A612,IF(F613&gt;0,F613,0),"")</f>
        <v>2.71000000000004</v>
      </c>
      <c r="H613" s="16" t="n">
        <f aca="false">IF(A613=A612,IF(F613&lt;0,-F613,0),"")</f>
        <v>0</v>
      </c>
    </row>
    <row r="614" customFormat="false" ht="15" hidden="false" customHeight="false" outlineLevel="0" collapsed="false">
      <c r="A614" s="14" t="s">
        <v>94</v>
      </c>
      <c r="B614" s="15" t="n">
        <v>46002</v>
      </c>
      <c r="C614" s="14" t="n">
        <v>1973.69</v>
      </c>
      <c r="D614" s="14" t="n">
        <v>2058285</v>
      </c>
      <c r="E614" s="16" t="n">
        <f aca="false">COUNTIFS($A$2:$A$1561,A614,$B$2:$B$1561,"&gt;"&amp;B614)+1</f>
        <v>168</v>
      </c>
      <c r="F614" s="16" t="n">
        <f aca="false">IF(A614=A613,C614-C613,"")</f>
        <v>-10.54</v>
      </c>
      <c r="G614" s="16" t="n">
        <f aca="false">IF(A614=A613,IF(F614&gt;0,F614,0),"")</f>
        <v>0</v>
      </c>
      <c r="H614" s="16" t="n">
        <f aca="false">IF(A614=A613,IF(F614&lt;0,-F614,0),"")</f>
        <v>10.54</v>
      </c>
    </row>
    <row r="615" customFormat="false" ht="15" hidden="false" customHeight="false" outlineLevel="0" collapsed="false">
      <c r="A615" s="14" t="s">
        <v>94</v>
      </c>
      <c r="B615" s="15" t="n">
        <v>46003</v>
      </c>
      <c r="C615" s="14" t="n">
        <v>1973.5</v>
      </c>
      <c r="D615" s="14" t="n">
        <v>1890778</v>
      </c>
      <c r="E615" s="16" t="n">
        <f aca="false">COUNTIFS($A$2:$A$1561,A615,$B$2:$B$1561,"&gt;"&amp;B615)+1</f>
        <v>167</v>
      </c>
      <c r="F615" s="16" t="n">
        <f aca="false">IF(A615=A614,C615-C614,"")</f>
        <v>-0.190000000000055</v>
      </c>
      <c r="G615" s="16" t="n">
        <f aca="false">IF(A615=A614,IF(F615&gt;0,F615,0),"")</f>
        <v>0</v>
      </c>
      <c r="H615" s="16" t="n">
        <f aca="false">IF(A615=A614,IF(F615&lt;0,-F615,0),"")</f>
        <v>0.190000000000055</v>
      </c>
    </row>
    <row r="616" customFormat="false" ht="15" hidden="false" customHeight="false" outlineLevel="0" collapsed="false">
      <c r="A616" s="14" t="s">
        <v>94</v>
      </c>
      <c r="B616" s="15" t="n">
        <v>46006</v>
      </c>
      <c r="C616" s="14" t="n">
        <v>1979.25</v>
      </c>
      <c r="D616" s="14" t="n">
        <v>2122995</v>
      </c>
      <c r="E616" s="16" t="n">
        <f aca="false">COUNTIFS($A$2:$A$1561,A616,$B$2:$B$1561,"&gt;"&amp;B616)+1</f>
        <v>166</v>
      </c>
      <c r="F616" s="16" t="n">
        <f aca="false">IF(A616=A615,C616-C615,"")</f>
        <v>5.75</v>
      </c>
      <c r="G616" s="16" t="n">
        <f aca="false">IF(A616=A615,IF(F616&gt;0,F616,0),"")</f>
        <v>5.75</v>
      </c>
      <c r="H616" s="16" t="n">
        <f aca="false">IF(A616=A615,IF(F616&lt;0,-F616,0),"")</f>
        <v>0</v>
      </c>
    </row>
    <row r="617" customFormat="false" ht="15" hidden="false" customHeight="false" outlineLevel="0" collapsed="false">
      <c r="A617" s="14" t="s">
        <v>94</v>
      </c>
      <c r="B617" s="15" t="n">
        <v>46007</v>
      </c>
      <c r="C617" s="14" t="n">
        <v>1964.75</v>
      </c>
      <c r="D617" s="14" t="n">
        <v>2052380</v>
      </c>
      <c r="E617" s="16" t="n">
        <f aca="false">COUNTIFS($A$2:$A$1561,A617,$B$2:$B$1561,"&gt;"&amp;B617)+1</f>
        <v>165</v>
      </c>
      <c r="F617" s="16" t="n">
        <f aca="false">IF(A617=A616,C617-C616,"")</f>
        <v>-14.5</v>
      </c>
      <c r="G617" s="16" t="n">
        <f aca="false">IF(A617=A616,IF(F617&gt;0,F617,0),"")</f>
        <v>0</v>
      </c>
      <c r="H617" s="16" t="n">
        <f aca="false">IF(A617=A616,IF(F617&lt;0,-F617,0),"")</f>
        <v>14.5</v>
      </c>
    </row>
    <row r="618" customFormat="false" ht="15" hidden="false" customHeight="false" outlineLevel="0" collapsed="false">
      <c r="A618" s="14" t="s">
        <v>94</v>
      </c>
      <c r="B618" s="15" t="n">
        <v>46008</v>
      </c>
      <c r="C618" s="14" t="n">
        <v>1964.32</v>
      </c>
      <c r="D618" s="14" t="n">
        <v>1086885</v>
      </c>
      <c r="E618" s="16" t="n">
        <f aca="false">COUNTIFS($A$2:$A$1561,A618,$B$2:$B$1561,"&gt;"&amp;B618)+1</f>
        <v>164</v>
      </c>
      <c r="F618" s="16" t="n">
        <f aca="false">IF(A618=A617,C618-C617,"")</f>
        <v>-0.430000000000064</v>
      </c>
      <c r="G618" s="16" t="n">
        <f aca="false">IF(A618=A617,IF(F618&gt;0,F618,0),"")</f>
        <v>0</v>
      </c>
      <c r="H618" s="16" t="n">
        <f aca="false">IF(A618=A617,IF(F618&lt;0,-F618,0),"")</f>
        <v>0.430000000000064</v>
      </c>
    </row>
    <row r="619" customFormat="false" ht="15" hidden="false" customHeight="false" outlineLevel="0" collapsed="false">
      <c r="A619" s="14" t="s">
        <v>94</v>
      </c>
      <c r="B619" s="15" t="n">
        <v>46009</v>
      </c>
      <c r="C619" s="14" t="n">
        <v>1949.25</v>
      </c>
      <c r="D619" s="14" t="n">
        <v>898939</v>
      </c>
      <c r="E619" s="16" t="n">
        <f aca="false">COUNTIFS($A$2:$A$1561,A619,$B$2:$B$1561,"&gt;"&amp;B619)+1</f>
        <v>163</v>
      </c>
      <c r="F619" s="16" t="n">
        <f aca="false">IF(A619=A618,C619-C618,"")</f>
        <v>-15.0699999999999</v>
      </c>
      <c r="G619" s="16" t="n">
        <f aca="false">IF(A619=A618,IF(F619&gt;0,F619,0),"")</f>
        <v>0</v>
      </c>
      <c r="H619" s="16" t="n">
        <f aca="false">IF(A619=A618,IF(F619&lt;0,-F619,0),"")</f>
        <v>15.0699999999999</v>
      </c>
    </row>
    <row r="620" customFormat="false" ht="15" hidden="false" customHeight="false" outlineLevel="0" collapsed="false">
      <c r="A620" s="14" t="s">
        <v>94</v>
      </c>
      <c r="B620" s="15" t="n">
        <v>46010</v>
      </c>
      <c r="C620" s="14" t="n">
        <v>1934.23</v>
      </c>
      <c r="D620" s="14" t="n">
        <v>2366741</v>
      </c>
      <c r="E620" s="16" t="n">
        <f aca="false">COUNTIFS($A$2:$A$1561,A620,$B$2:$B$1561,"&gt;"&amp;B620)+1</f>
        <v>162</v>
      </c>
      <c r="F620" s="16" t="n">
        <f aca="false">IF(A620=A619,C620-C619,"")</f>
        <v>-15.02</v>
      </c>
      <c r="G620" s="16" t="n">
        <f aca="false">IF(A620=A619,IF(F620&gt;0,F620,0),"")</f>
        <v>0</v>
      </c>
      <c r="H620" s="16" t="n">
        <f aca="false">IF(A620=A619,IF(F620&lt;0,-F620,0),"")</f>
        <v>15.02</v>
      </c>
    </row>
    <row r="621" customFormat="false" ht="15" hidden="false" customHeight="false" outlineLevel="0" collapsed="false">
      <c r="A621" s="14" t="s">
        <v>94</v>
      </c>
      <c r="B621" s="15" t="n">
        <v>46013</v>
      </c>
      <c r="C621" s="14" t="n">
        <v>1935.81</v>
      </c>
      <c r="D621" s="14" t="n">
        <v>2478245</v>
      </c>
      <c r="E621" s="16" t="n">
        <f aca="false">COUNTIFS($A$2:$A$1561,A621,$B$2:$B$1561,"&gt;"&amp;B621)+1</f>
        <v>161</v>
      </c>
      <c r="F621" s="16" t="n">
        <f aca="false">IF(A621=A620,C621-C620,"")</f>
        <v>1.57999999999993</v>
      </c>
      <c r="G621" s="16" t="n">
        <f aca="false">IF(A621=A620,IF(F621&gt;0,F621,0),"")</f>
        <v>1.57999999999993</v>
      </c>
      <c r="H621" s="16" t="n">
        <f aca="false">IF(A621=A620,IF(F621&lt;0,-F621,0),"")</f>
        <v>0</v>
      </c>
    </row>
    <row r="622" customFormat="false" ht="15" hidden="false" customHeight="false" outlineLevel="0" collapsed="false">
      <c r="A622" s="14" t="s">
        <v>94</v>
      </c>
      <c r="B622" s="15" t="n">
        <v>46014</v>
      </c>
      <c r="C622" s="14" t="n">
        <v>1938.35</v>
      </c>
      <c r="D622" s="14" t="n">
        <v>1006627</v>
      </c>
      <c r="E622" s="16" t="n">
        <f aca="false">COUNTIFS($A$2:$A$1561,A622,$B$2:$B$1561,"&gt;"&amp;B622)+1</f>
        <v>160</v>
      </c>
      <c r="F622" s="16" t="n">
        <f aca="false">IF(A622=A621,C622-C621,"")</f>
        <v>2.53999999999996</v>
      </c>
      <c r="G622" s="16" t="n">
        <f aca="false">IF(A622=A621,IF(F622&gt;0,F622,0),"")</f>
        <v>2.53999999999996</v>
      </c>
      <c r="H622" s="16" t="n">
        <f aca="false">IF(A622=A621,IF(F622&lt;0,-F622,0),"")</f>
        <v>0</v>
      </c>
    </row>
    <row r="623" customFormat="false" ht="15" hidden="false" customHeight="false" outlineLevel="0" collapsed="false">
      <c r="A623" s="14" t="s">
        <v>94</v>
      </c>
      <c r="B623" s="15" t="n">
        <v>46015</v>
      </c>
      <c r="C623" s="14" t="n">
        <v>1948.24</v>
      </c>
      <c r="D623" s="14" t="n">
        <v>882206</v>
      </c>
      <c r="E623" s="16" t="n">
        <f aca="false">COUNTIFS($A$2:$A$1561,A623,$B$2:$B$1561,"&gt;"&amp;B623)+1</f>
        <v>159</v>
      </c>
      <c r="F623" s="16" t="n">
        <f aca="false">IF(A623=A622,C623-C622,"")</f>
        <v>9.8900000000001</v>
      </c>
      <c r="G623" s="16" t="n">
        <f aca="false">IF(A623=A622,IF(F623&gt;0,F623,0),"")</f>
        <v>9.8900000000001</v>
      </c>
      <c r="H623" s="16" t="n">
        <f aca="false">IF(A623=A622,IF(F623&lt;0,-F623,0),"")</f>
        <v>0</v>
      </c>
    </row>
    <row r="624" customFormat="false" ht="15" hidden="false" customHeight="false" outlineLevel="0" collapsed="false">
      <c r="A624" s="14" t="s">
        <v>94</v>
      </c>
      <c r="B624" s="15" t="n">
        <v>46016</v>
      </c>
      <c r="C624" s="14" t="n">
        <v>1944.27</v>
      </c>
      <c r="D624" s="14" t="n">
        <v>2061683</v>
      </c>
      <c r="E624" s="16" t="n">
        <f aca="false">COUNTIFS($A$2:$A$1561,A624,$B$2:$B$1561,"&gt;"&amp;B624)+1</f>
        <v>158</v>
      </c>
      <c r="F624" s="16" t="n">
        <f aca="false">IF(A624=A623,C624-C623,"")</f>
        <v>-3.97000000000003</v>
      </c>
      <c r="G624" s="16" t="n">
        <f aca="false">IF(A624=A623,IF(F624&gt;0,F624,0),"")</f>
        <v>0</v>
      </c>
      <c r="H624" s="16" t="n">
        <f aca="false">IF(A624=A623,IF(F624&lt;0,-F624,0),"")</f>
        <v>3.97000000000003</v>
      </c>
    </row>
    <row r="625" customFormat="false" ht="15" hidden="false" customHeight="false" outlineLevel="0" collapsed="false">
      <c r="A625" s="14" t="s">
        <v>94</v>
      </c>
      <c r="B625" s="15" t="n">
        <v>46017</v>
      </c>
      <c r="C625" s="14" t="n">
        <v>1958.12</v>
      </c>
      <c r="D625" s="14" t="n">
        <v>1163849</v>
      </c>
      <c r="E625" s="16" t="n">
        <f aca="false">COUNTIFS($A$2:$A$1561,A625,$B$2:$B$1561,"&gt;"&amp;B625)+1</f>
        <v>157</v>
      </c>
      <c r="F625" s="16" t="n">
        <f aca="false">IF(A625=A624,C625-C624,"")</f>
        <v>13.8499999999999</v>
      </c>
      <c r="G625" s="16" t="n">
        <f aca="false">IF(A625=A624,IF(F625&gt;0,F625,0),"")</f>
        <v>13.8499999999999</v>
      </c>
      <c r="H625" s="16" t="n">
        <f aca="false">IF(A625=A624,IF(F625&lt;0,-F625,0),"")</f>
        <v>0</v>
      </c>
    </row>
    <row r="626" customFormat="false" ht="15" hidden="false" customHeight="false" outlineLevel="0" collapsed="false">
      <c r="A626" s="14" t="s">
        <v>94</v>
      </c>
      <c r="B626" s="15" t="n">
        <v>46020</v>
      </c>
      <c r="C626" s="14" t="n">
        <v>1945.94</v>
      </c>
      <c r="D626" s="14" t="n">
        <v>1236038</v>
      </c>
      <c r="E626" s="16" t="n">
        <f aca="false">COUNTIFS($A$2:$A$1561,A626,$B$2:$B$1561,"&gt;"&amp;B626)+1</f>
        <v>156</v>
      </c>
      <c r="F626" s="16" t="n">
        <f aca="false">IF(A626=A625,C626-C625,"")</f>
        <v>-12.1799999999998</v>
      </c>
      <c r="G626" s="16" t="n">
        <f aca="false">IF(A626=A625,IF(F626&gt;0,F626,0),"")</f>
        <v>0</v>
      </c>
      <c r="H626" s="16" t="n">
        <f aca="false">IF(A626=A625,IF(F626&lt;0,-F626,0),"")</f>
        <v>12.1799999999998</v>
      </c>
    </row>
    <row r="627" customFormat="false" ht="15" hidden="false" customHeight="false" outlineLevel="0" collapsed="false">
      <c r="A627" s="14" t="s">
        <v>94</v>
      </c>
      <c r="B627" s="15" t="n">
        <v>46021</v>
      </c>
      <c r="C627" s="14" t="n">
        <v>1960.64</v>
      </c>
      <c r="D627" s="14" t="n">
        <v>1986615</v>
      </c>
      <c r="E627" s="16" t="n">
        <f aca="false">COUNTIFS($A$2:$A$1561,A627,$B$2:$B$1561,"&gt;"&amp;B627)+1</f>
        <v>155</v>
      </c>
      <c r="F627" s="16" t="n">
        <f aca="false">IF(A627=A626,C627-C626,"")</f>
        <v>14.7</v>
      </c>
      <c r="G627" s="16" t="n">
        <f aca="false">IF(A627=A626,IF(F627&gt;0,F627,0),"")</f>
        <v>14.7</v>
      </c>
      <c r="H627" s="16" t="n">
        <f aca="false">IF(A627=A626,IF(F627&lt;0,-F627,0),"")</f>
        <v>0</v>
      </c>
    </row>
    <row r="628" customFormat="false" ht="15" hidden="false" customHeight="false" outlineLevel="0" collapsed="false">
      <c r="A628" s="14" t="s">
        <v>94</v>
      </c>
      <c r="B628" s="15" t="n">
        <v>46022</v>
      </c>
      <c r="C628" s="14" t="n">
        <v>1975.62</v>
      </c>
      <c r="D628" s="14" t="n">
        <v>1273289</v>
      </c>
      <c r="E628" s="16" t="n">
        <f aca="false">COUNTIFS($A$2:$A$1561,A628,$B$2:$B$1561,"&gt;"&amp;B628)+1</f>
        <v>154</v>
      </c>
      <c r="F628" s="16" t="n">
        <f aca="false">IF(A628=A627,C628-C627,"")</f>
        <v>14.9799999999998</v>
      </c>
      <c r="G628" s="16" t="n">
        <f aca="false">IF(A628=A627,IF(F628&gt;0,F628,0),"")</f>
        <v>14.9799999999998</v>
      </c>
      <c r="H628" s="16" t="n">
        <f aca="false">IF(A628=A627,IF(F628&lt;0,-F628,0),"")</f>
        <v>0</v>
      </c>
    </row>
    <row r="629" customFormat="false" ht="15" hidden="false" customHeight="false" outlineLevel="0" collapsed="false">
      <c r="A629" s="14" t="s">
        <v>94</v>
      </c>
      <c r="B629" s="15" t="n">
        <v>46023</v>
      </c>
      <c r="C629" s="14" t="n">
        <v>1993.54</v>
      </c>
      <c r="D629" s="14" t="n">
        <v>1492406</v>
      </c>
      <c r="E629" s="16" t="n">
        <f aca="false">COUNTIFS($A$2:$A$1561,A629,$B$2:$B$1561,"&gt;"&amp;B629)+1</f>
        <v>153</v>
      </c>
      <c r="F629" s="16" t="n">
        <f aca="false">IF(A629=A628,C629-C628,"")</f>
        <v>17.9200000000001</v>
      </c>
      <c r="G629" s="16" t="n">
        <f aca="false">IF(A629=A628,IF(F629&gt;0,F629,0),"")</f>
        <v>17.9200000000001</v>
      </c>
      <c r="H629" s="16" t="n">
        <f aca="false">IF(A629=A628,IF(F629&lt;0,-F629,0),"")</f>
        <v>0</v>
      </c>
    </row>
    <row r="630" customFormat="false" ht="15" hidden="false" customHeight="false" outlineLevel="0" collapsed="false">
      <c r="A630" s="14" t="s">
        <v>94</v>
      </c>
      <c r="B630" s="15" t="n">
        <v>46024</v>
      </c>
      <c r="C630" s="14" t="n">
        <v>1994.52</v>
      </c>
      <c r="D630" s="14" t="n">
        <v>2348620</v>
      </c>
      <c r="E630" s="16" t="n">
        <f aca="false">COUNTIFS($A$2:$A$1561,A630,$B$2:$B$1561,"&gt;"&amp;B630)+1</f>
        <v>152</v>
      </c>
      <c r="F630" s="16" t="n">
        <f aca="false">IF(A630=A629,C630-C629,"")</f>
        <v>0.980000000000018</v>
      </c>
      <c r="G630" s="16" t="n">
        <f aca="false">IF(A630=A629,IF(F630&gt;0,F630,0),"")</f>
        <v>0.980000000000018</v>
      </c>
      <c r="H630" s="16" t="n">
        <f aca="false">IF(A630=A629,IF(F630&lt;0,-F630,0),"")</f>
        <v>0</v>
      </c>
    </row>
    <row r="631" customFormat="false" ht="15" hidden="false" customHeight="false" outlineLevel="0" collapsed="false">
      <c r="A631" s="14" t="s">
        <v>94</v>
      </c>
      <c r="B631" s="15" t="n">
        <v>46027</v>
      </c>
      <c r="C631" s="14" t="n">
        <v>1996.29</v>
      </c>
      <c r="D631" s="14" t="n">
        <v>2102296</v>
      </c>
      <c r="E631" s="16" t="n">
        <f aca="false">COUNTIFS($A$2:$A$1561,A631,$B$2:$B$1561,"&gt;"&amp;B631)+1</f>
        <v>151</v>
      </c>
      <c r="F631" s="16" t="n">
        <f aca="false">IF(A631=A630,C631-C630,"")</f>
        <v>1.76999999999998</v>
      </c>
      <c r="G631" s="16" t="n">
        <f aca="false">IF(A631=A630,IF(F631&gt;0,F631,0),"")</f>
        <v>1.76999999999998</v>
      </c>
      <c r="H631" s="16" t="n">
        <f aca="false">IF(A631=A630,IF(F631&lt;0,-F631,0),"")</f>
        <v>0</v>
      </c>
    </row>
    <row r="632" customFormat="false" ht="15" hidden="false" customHeight="false" outlineLevel="0" collapsed="false">
      <c r="A632" s="14" t="s">
        <v>94</v>
      </c>
      <c r="B632" s="15" t="n">
        <v>46028</v>
      </c>
      <c r="C632" s="14" t="n">
        <v>2005.53</v>
      </c>
      <c r="D632" s="14" t="n">
        <v>657854</v>
      </c>
      <c r="E632" s="16" t="n">
        <f aca="false">COUNTIFS($A$2:$A$1561,A632,$B$2:$B$1561,"&gt;"&amp;B632)+1</f>
        <v>150</v>
      </c>
      <c r="F632" s="16" t="n">
        <f aca="false">IF(A632=A631,C632-C631,"")</f>
        <v>9.24000000000001</v>
      </c>
      <c r="G632" s="16" t="n">
        <f aca="false">IF(A632=A631,IF(F632&gt;0,F632,0),"")</f>
        <v>9.24000000000001</v>
      </c>
      <c r="H632" s="16" t="n">
        <f aca="false">IF(A632=A631,IF(F632&lt;0,-F632,0),"")</f>
        <v>0</v>
      </c>
    </row>
    <row r="633" customFormat="false" ht="15" hidden="false" customHeight="false" outlineLevel="0" collapsed="false">
      <c r="A633" s="14" t="s">
        <v>94</v>
      </c>
      <c r="B633" s="15" t="n">
        <v>46029</v>
      </c>
      <c r="C633" s="14" t="n">
        <v>2010.31</v>
      </c>
      <c r="D633" s="14" t="n">
        <v>2144682</v>
      </c>
      <c r="E633" s="16" t="n">
        <f aca="false">COUNTIFS($A$2:$A$1561,A633,$B$2:$B$1561,"&gt;"&amp;B633)+1</f>
        <v>149</v>
      </c>
      <c r="F633" s="16" t="n">
        <f aca="false">IF(A633=A632,C633-C632,"")</f>
        <v>4.77999999999997</v>
      </c>
      <c r="G633" s="16" t="n">
        <f aca="false">IF(A633=A632,IF(F633&gt;0,F633,0),"")</f>
        <v>4.77999999999997</v>
      </c>
      <c r="H633" s="16" t="n">
        <f aca="false">IF(A633=A632,IF(F633&lt;0,-F633,0),"")</f>
        <v>0</v>
      </c>
    </row>
    <row r="634" customFormat="false" ht="15" hidden="false" customHeight="false" outlineLevel="0" collapsed="false">
      <c r="A634" s="14" t="s">
        <v>94</v>
      </c>
      <c r="B634" s="15" t="n">
        <v>46030</v>
      </c>
      <c r="C634" s="14" t="n">
        <v>2013.04</v>
      </c>
      <c r="D634" s="14" t="n">
        <v>1142422</v>
      </c>
      <c r="E634" s="16" t="n">
        <f aca="false">COUNTIFS($A$2:$A$1561,A634,$B$2:$B$1561,"&gt;"&amp;B634)+1</f>
        <v>148</v>
      </c>
      <c r="F634" s="16" t="n">
        <f aca="false">IF(A634=A633,C634-C633,"")</f>
        <v>2.73000000000002</v>
      </c>
      <c r="G634" s="16" t="n">
        <f aca="false">IF(A634=A633,IF(F634&gt;0,F634,0),"")</f>
        <v>2.73000000000002</v>
      </c>
      <c r="H634" s="16" t="n">
        <f aca="false">IF(A634=A633,IF(F634&lt;0,-F634,0),"")</f>
        <v>0</v>
      </c>
    </row>
    <row r="635" customFormat="false" ht="15" hidden="false" customHeight="false" outlineLevel="0" collapsed="false">
      <c r="A635" s="14" t="s">
        <v>94</v>
      </c>
      <c r="B635" s="15" t="n">
        <v>46031</v>
      </c>
      <c r="C635" s="14" t="n">
        <v>1998.92</v>
      </c>
      <c r="D635" s="14" t="n">
        <v>1821838</v>
      </c>
      <c r="E635" s="16" t="n">
        <f aca="false">COUNTIFS($A$2:$A$1561,A635,$B$2:$B$1561,"&gt;"&amp;B635)+1</f>
        <v>147</v>
      </c>
      <c r="F635" s="16" t="n">
        <f aca="false">IF(A635=A634,C635-C634,"")</f>
        <v>-14.1199999999999</v>
      </c>
      <c r="G635" s="16" t="n">
        <f aca="false">IF(A635=A634,IF(F635&gt;0,F635,0),"")</f>
        <v>0</v>
      </c>
      <c r="H635" s="16" t="n">
        <f aca="false">IF(A635=A634,IF(F635&lt;0,-F635,0),"")</f>
        <v>14.1199999999999</v>
      </c>
    </row>
    <row r="636" customFormat="false" ht="15" hidden="false" customHeight="false" outlineLevel="0" collapsed="false">
      <c r="A636" s="14" t="s">
        <v>94</v>
      </c>
      <c r="B636" s="15" t="n">
        <v>46034</v>
      </c>
      <c r="C636" s="14" t="n">
        <v>1993.03</v>
      </c>
      <c r="D636" s="14" t="n">
        <v>1705243</v>
      </c>
      <c r="E636" s="16" t="n">
        <f aca="false">COUNTIFS($A$2:$A$1561,A636,$B$2:$B$1561,"&gt;"&amp;B636)+1</f>
        <v>146</v>
      </c>
      <c r="F636" s="16" t="n">
        <f aca="false">IF(A636=A635,C636-C635,"")</f>
        <v>-5.8900000000001</v>
      </c>
      <c r="G636" s="16" t="n">
        <f aca="false">IF(A636=A635,IF(F636&gt;0,F636,0),"")</f>
        <v>0</v>
      </c>
      <c r="H636" s="16" t="n">
        <f aca="false">IF(A636=A635,IF(F636&lt;0,-F636,0),"")</f>
        <v>5.8900000000001</v>
      </c>
    </row>
    <row r="637" customFormat="false" ht="15" hidden="false" customHeight="false" outlineLevel="0" collapsed="false">
      <c r="A637" s="14" t="s">
        <v>94</v>
      </c>
      <c r="B637" s="15" t="n">
        <v>46035</v>
      </c>
      <c r="C637" s="14" t="n">
        <v>1991.46</v>
      </c>
      <c r="D637" s="14" t="n">
        <v>1879529</v>
      </c>
      <c r="E637" s="16" t="n">
        <f aca="false">COUNTIFS($A$2:$A$1561,A637,$B$2:$B$1561,"&gt;"&amp;B637)+1</f>
        <v>145</v>
      </c>
      <c r="F637" s="16" t="n">
        <f aca="false">IF(A637=A636,C637-C636,"")</f>
        <v>-1.56999999999994</v>
      </c>
      <c r="G637" s="16" t="n">
        <f aca="false">IF(A637=A636,IF(F637&gt;0,F637,0),"")</f>
        <v>0</v>
      </c>
      <c r="H637" s="16" t="n">
        <f aca="false">IF(A637=A636,IF(F637&lt;0,-F637,0),"")</f>
        <v>1.56999999999994</v>
      </c>
    </row>
    <row r="638" customFormat="false" ht="15" hidden="false" customHeight="false" outlineLevel="0" collapsed="false">
      <c r="A638" s="14" t="s">
        <v>94</v>
      </c>
      <c r="B638" s="15" t="n">
        <v>46036</v>
      </c>
      <c r="C638" s="14" t="n">
        <v>1987.21</v>
      </c>
      <c r="D638" s="14" t="n">
        <v>584710</v>
      </c>
      <c r="E638" s="16" t="n">
        <f aca="false">COUNTIFS($A$2:$A$1561,A638,$B$2:$B$1561,"&gt;"&amp;B638)+1</f>
        <v>144</v>
      </c>
      <c r="F638" s="16" t="n">
        <f aca="false">IF(A638=A637,C638-C637,"")</f>
        <v>-4.25</v>
      </c>
      <c r="G638" s="16" t="n">
        <f aca="false">IF(A638=A637,IF(F638&gt;0,F638,0),"")</f>
        <v>0</v>
      </c>
      <c r="H638" s="16" t="n">
        <f aca="false">IF(A638=A637,IF(F638&lt;0,-F638,0),"")</f>
        <v>4.25</v>
      </c>
    </row>
    <row r="639" customFormat="false" ht="15" hidden="false" customHeight="false" outlineLevel="0" collapsed="false">
      <c r="A639" s="14" t="s">
        <v>94</v>
      </c>
      <c r="B639" s="15" t="n">
        <v>46037</v>
      </c>
      <c r="C639" s="14" t="n">
        <v>2001.52</v>
      </c>
      <c r="D639" s="14" t="n">
        <v>1205118</v>
      </c>
      <c r="E639" s="16" t="n">
        <f aca="false">COUNTIFS($A$2:$A$1561,A639,$B$2:$B$1561,"&gt;"&amp;B639)+1</f>
        <v>143</v>
      </c>
      <c r="F639" s="16" t="n">
        <f aca="false">IF(A639=A638,C639-C638,"")</f>
        <v>14.3099999999999</v>
      </c>
      <c r="G639" s="16" t="n">
        <f aca="false">IF(A639=A638,IF(F639&gt;0,F639,0),"")</f>
        <v>14.3099999999999</v>
      </c>
      <c r="H639" s="16" t="n">
        <f aca="false">IF(A639=A638,IF(F639&lt;0,-F639,0),"")</f>
        <v>0</v>
      </c>
    </row>
    <row r="640" customFormat="false" ht="15" hidden="false" customHeight="false" outlineLevel="0" collapsed="false">
      <c r="A640" s="14" t="s">
        <v>94</v>
      </c>
      <c r="B640" s="15" t="n">
        <v>46038</v>
      </c>
      <c r="C640" s="14" t="n">
        <v>2020.55</v>
      </c>
      <c r="D640" s="14" t="n">
        <v>1049110</v>
      </c>
      <c r="E640" s="16" t="n">
        <f aca="false">COUNTIFS($A$2:$A$1561,A640,$B$2:$B$1561,"&gt;"&amp;B640)+1</f>
        <v>142</v>
      </c>
      <c r="F640" s="16" t="n">
        <f aca="false">IF(A640=A639,C640-C639,"")</f>
        <v>19.03</v>
      </c>
      <c r="G640" s="16" t="n">
        <f aca="false">IF(A640=A639,IF(F640&gt;0,F640,0),"")</f>
        <v>19.03</v>
      </c>
      <c r="H640" s="16" t="n">
        <f aca="false">IF(A640=A639,IF(F640&lt;0,-F640,0),"")</f>
        <v>0</v>
      </c>
    </row>
    <row r="641" customFormat="false" ht="15" hidden="false" customHeight="false" outlineLevel="0" collapsed="false">
      <c r="A641" s="14" t="s">
        <v>94</v>
      </c>
      <c r="B641" s="15" t="n">
        <v>46041</v>
      </c>
      <c r="C641" s="14" t="n">
        <v>2039.1</v>
      </c>
      <c r="D641" s="14" t="n">
        <v>2395808</v>
      </c>
      <c r="E641" s="16" t="n">
        <f aca="false">COUNTIFS($A$2:$A$1561,A641,$B$2:$B$1561,"&gt;"&amp;B641)+1</f>
        <v>141</v>
      </c>
      <c r="F641" s="16" t="n">
        <f aca="false">IF(A641=A640,C641-C640,"")</f>
        <v>18.55</v>
      </c>
      <c r="G641" s="16" t="n">
        <f aca="false">IF(A641=A640,IF(F641&gt;0,F641,0),"")</f>
        <v>18.55</v>
      </c>
      <c r="H641" s="16" t="n">
        <f aca="false">IF(A641=A640,IF(F641&lt;0,-F641,0),"")</f>
        <v>0</v>
      </c>
    </row>
    <row r="642" customFormat="false" ht="15" hidden="false" customHeight="false" outlineLevel="0" collapsed="false">
      <c r="A642" s="14" t="s">
        <v>94</v>
      </c>
      <c r="B642" s="15" t="n">
        <v>46042</v>
      </c>
      <c r="C642" s="14" t="n">
        <v>2024.6</v>
      </c>
      <c r="D642" s="14" t="n">
        <v>1775025</v>
      </c>
      <c r="E642" s="16" t="n">
        <f aca="false">COUNTIFS($A$2:$A$1561,A642,$B$2:$B$1561,"&gt;"&amp;B642)+1</f>
        <v>140</v>
      </c>
      <c r="F642" s="16" t="n">
        <f aca="false">IF(A642=A641,C642-C641,"")</f>
        <v>-14.5</v>
      </c>
      <c r="G642" s="16" t="n">
        <f aca="false">IF(A642=A641,IF(F642&gt;0,F642,0),"")</f>
        <v>0</v>
      </c>
      <c r="H642" s="16" t="n">
        <f aca="false">IF(A642=A641,IF(F642&lt;0,-F642,0),"")</f>
        <v>14.5</v>
      </c>
    </row>
    <row r="643" customFormat="false" ht="15" hidden="false" customHeight="false" outlineLevel="0" collapsed="false">
      <c r="A643" s="14" t="s">
        <v>94</v>
      </c>
      <c r="B643" s="15" t="n">
        <v>46043</v>
      </c>
      <c r="C643" s="14" t="n">
        <v>2020.71</v>
      </c>
      <c r="D643" s="14" t="n">
        <v>2102191</v>
      </c>
      <c r="E643" s="16" t="n">
        <f aca="false">COUNTIFS($A$2:$A$1561,A643,$B$2:$B$1561,"&gt;"&amp;B643)+1</f>
        <v>139</v>
      </c>
      <c r="F643" s="16" t="n">
        <f aca="false">IF(A643=A642,C643-C642,"")</f>
        <v>-3.88999999999987</v>
      </c>
      <c r="G643" s="16" t="n">
        <f aca="false">IF(A643=A642,IF(F643&gt;0,F643,0),"")</f>
        <v>0</v>
      </c>
      <c r="H643" s="16" t="n">
        <f aca="false">IF(A643=A642,IF(F643&lt;0,-F643,0),"")</f>
        <v>3.88999999999987</v>
      </c>
    </row>
    <row r="644" customFormat="false" ht="15" hidden="false" customHeight="false" outlineLevel="0" collapsed="false">
      <c r="A644" s="14" t="s">
        <v>94</v>
      </c>
      <c r="B644" s="15" t="n">
        <v>46044</v>
      </c>
      <c r="C644" s="14" t="n">
        <v>2028.33</v>
      </c>
      <c r="D644" s="14" t="n">
        <v>2405578</v>
      </c>
      <c r="E644" s="16" t="n">
        <f aca="false">COUNTIFS($A$2:$A$1561,A644,$B$2:$B$1561,"&gt;"&amp;B644)+1</f>
        <v>138</v>
      </c>
      <c r="F644" s="16" t="n">
        <f aca="false">IF(A644=A643,C644-C643,"")</f>
        <v>7.61999999999989</v>
      </c>
      <c r="G644" s="16" t="n">
        <f aca="false">IF(A644=A643,IF(F644&gt;0,F644,0),"")</f>
        <v>7.61999999999989</v>
      </c>
      <c r="H644" s="16" t="n">
        <f aca="false">IF(A644=A643,IF(F644&lt;0,-F644,0),"")</f>
        <v>0</v>
      </c>
    </row>
    <row r="645" customFormat="false" ht="15" hidden="false" customHeight="false" outlineLevel="0" collapsed="false">
      <c r="A645" s="14" t="s">
        <v>94</v>
      </c>
      <c r="B645" s="15" t="n">
        <v>46045</v>
      </c>
      <c r="C645" s="14" t="n">
        <v>2016.38</v>
      </c>
      <c r="D645" s="14" t="n">
        <v>1715145</v>
      </c>
      <c r="E645" s="16" t="n">
        <f aca="false">COUNTIFS($A$2:$A$1561,A645,$B$2:$B$1561,"&gt;"&amp;B645)+1</f>
        <v>137</v>
      </c>
      <c r="F645" s="16" t="n">
        <f aca="false">IF(A645=A644,C645-C644,"")</f>
        <v>-11.9499999999998</v>
      </c>
      <c r="G645" s="16" t="n">
        <f aca="false">IF(A645=A644,IF(F645&gt;0,F645,0),"")</f>
        <v>0</v>
      </c>
      <c r="H645" s="16" t="n">
        <f aca="false">IF(A645=A644,IF(F645&lt;0,-F645,0),"")</f>
        <v>11.9499999999998</v>
      </c>
    </row>
    <row r="646" customFormat="false" ht="15" hidden="false" customHeight="false" outlineLevel="0" collapsed="false">
      <c r="A646" s="14" t="s">
        <v>94</v>
      </c>
      <c r="B646" s="15" t="n">
        <v>46048</v>
      </c>
      <c r="C646" s="14" t="n">
        <v>2027.68</v>
      </c>
      <c r="D646" s="14" t="n">
        <v>569597</v>
      </c>
      <c r="E646" s="16" t="n">
        <f aca="false">COUNTIFS($A$2:$A$1561,A646,$B$2:$B$1561,"&gt;"&amp;B646)+1</f>
        <v>136</v>
      </c>
      <c r="F646" s="16" t="n">
        <f aca="false">IF(A646=A645,C646-C645,"")</f>
        <v>11.3</v>
      </c>
      <c r="G646" s="16" t="n">
        <f aca="false">IF(A646=A645,IF(F646&gt;0,F646,0),"")</f>
        <v>11.3</v>
      </c>
      <c r="H646" s="16" t="n">
        <f aca="false">IF(A646=A645,IF(F646&lt;0,-F646,0),"")</f>
        <v>0</v>
      </c>
    </row>
    <row r="647" customFormat="false" ht="15" hidden="false" customHeight="false" outlineLevel="0" collapsed="false">
      <c r="A647" s="14" t="s">
        <v>94</v>
      </c>
      <c r="B647" s="15" t="n">
        <v>46049</v>
      </c>
      <c r="C647" s="14" t="n">
        <v>2012.98</v>
      </c>
      <c r="D647" s="14" t="n">
        <v>2057030</v>
      </c>
      <c r="E647" s="16" t="n">
        <f aca="false">COUNTIFS($A$2:$A$1561,A647,$B$2:$B$1561,"&gt;"&amp;B647)+1</f>
        <v>135</v>
      </c>
      <c r="F647" s="16" t="n">
        <f aca="false">IF(A647=A646,C647-C646,"")</f>
        <v>-14.7</v>
      </c>
      <c r="G647" s="16" t="n">
        <f aca="false">IF(A647=A646,IF(F647&gt;0,F647,0),"")</f>
        <v>0</v>
      </c>
      <c r="H647" s="16" t="n">
        <f aca="false">IF(A647=A646,IF(F647&lt;0,-F647,0),"")</f>
        <v>14.7</v>
      </c>
    </row>
    <row r="648" customFormat="false" ht="15" hidden="false" customHeight="false" outlineLevel="0" collapsed="false">
      <c r="A648" s="14" t="s">
        <v>94</v>
      </c>
      <c r="B648" s="15" t="n">
        <v>46050</v>
      </c>
      <c r="C648" s="14" t="n">
        <v>2009.23</v>
      </c>
      <c r="D648" s="14" t="n">
        <v>1265708</v>
      </c>
      <c r="E648" s="16" t="n">
        <f aca="false">COUNTIFS($A$2:$A$1561,A648,$B$2:$B$1561,"&gt;"&amp;B648)+1</f>
        <v>134</v>
      </c>
      <c r="F648" s="16" t="n">
        <f aca="false">IF(A648=A647,C648-C647,"")</f>
        <v>-3.75</v>
      </c>
      <c r="G648" s="16" t="n">
        <f aca="false">IF(A648=A647,IF(F648&gt;0,F648,0),"")</f>
        <v>0</v>
      </c>
      <c r="H648" s="16" t="n">
        <f aca="false">IF(A648=A647,IF(F648&lt;0,-F648,0),"")</f>
        <v>3.75</v>
      </c>
    </row>
    <row r="649" customFormat="false" ht="15" hidden="false" customHeight="false" outlineLevel="0" collapsed="false">
      <c r="A649" s="14" t="s">
        <v>94</v>
      </c>
      <c r="B649" s="15" t="n">
        <v>46051</v>
      </c>
      <c r="C649" s="14" t="n">
        <v>2012.74</v>
      </c>
      <c r="D649" s="14" t="n">
        <v>1710189</v>
      </c>
      <c r="E649" s="16" t="n">
        <f aca="false">COUNTIFS($A$2:$A$1561,A649,$B$2:$B$1561,"&gt;"&amp;B649)+1</f>
        <v>133</v>
      </c>
      <c r="F649" s="16" t="n">
        <f aca="false">IF(A649=A648,C649-C648,"")</f>
        <v>3.50999999999999</v>
      </c>
      <c r="G649" s="16" t="n">
        <f aca="false">IF(A649=A648,IF(F649&gt;0,F649,0),"")</f>
        <v>3.50999999999999</v>
      </c>
      <c r="H649" s="16" t="n">
        <f aca="false">IF(A649=A648,IF(F649&lt;0,-F649,0),"")</f>
        <v>0</v>
      </c>
    </row>
    <row r="650" customFormat="false" ht="15" hidden="false" customHeight="false" outlineLevel="0" collapsed="false">
      <c r="A650" s="14" t="s">
        <v>94</v>
      </c>
      <c r="B650" s="15" t="n">
        <v>46052</v>
      </c>
      <c r="C650" s="14" t="n">
        <v>2020.32</v>
      </c>
      <c r="D650" s="14" t="n">
        <v>2397647</v>
      </c>
      <c r="E650" s="16" t="n">
        <f aca="false">COUNTIFS($A$2:$A$1561,A650,$B$2:$B$1561,"&gt;"&amp;B650)+1</f>
        <v>132</v>
      </c>
      <c r="F650" s="16" t="n">
        <f aca="false">IF(A650=A649,C650-C649,"")</f>
        <v>7.57999999999993</v>
      </c>
      <c r="G650" s="16" t="n">
        <f aca="false">IF(A650=A649,IF(F650&gt;0,F650,0),"")</f>
        <v>7.57999999999993</v>
      </c>
      <c r="H650" s="16" t="n">
        <f aca="false">IF(A650=A649,IF(F650&lt;0,-F650,0),"")</f>
        <v>0</v>
      </c>
    </row>
    <row r="651" customFormat="false" ht="15" hidden="false" customHeight="false" outlineLevel="0" collapsed="false">
      <c r="A651" s="14" t="s">
        <v>94</v>
      </c>
      <c r="B651" s="15" t="n">
        <v>46055</v>
      </c>
      <c r="C651" s="14" t="n">
        <v>2016.75</v>
      </c>
      <c r="D651" s="14" t="n">
        <v>2026168</v>
      </c>
      <c r="E651" s="16" t="n">
        <f aca="false">COUNTIFS($A$2:$A$1561,A651,$B$2:$B$1561,"&gt;"&amp;B651)+1</f>
        <v>131</v>
      </c>
      <c r="F651" s="16" t="n">
        <f aca="false">IF(A651=A650,C651-C650,"")</f>
        <v>-3.56999999999994</v>
      </c>
      <c r="G651" s="16" t="n">
        <f aca="false">IF(A651=A650,IF(F651&gt;0,F651,0),"")</f>
        <v>0</v>
      </c>
      <c r="H651" s="16" t="n">
        <f aca="false">IF(A651=A650,IF(F651&lt;0,-F651,0),"")</f>
        <v>3.56999999999994</v>
      </c>
    </row>
    <row r="652" customFormat="false" ht="15" hidden="false" customHeight="false" outlineLevel="0" collapsed="false">
      <c r="A652" s="14" t="s">
        <v>94</v>
      </c>
      <c r="B652" s="15" t="n">
        <v>46056</v>
      </c>
      <c r="C652" s="14" t="n">
        <v>2020.53</v>
      </c>
      <c r="D652" s="14" t="n">
        <v>1558919</v>
      </c>
      <c r="E652" s="16" t="n">
        <f aca="false">COUNTIFS($A$2:$A$1561,A652,$B$2:$B$1561,"&gt;"&amp;B652)+1</f>
        <v>130</v>
      </c>
      <c r="F652" s="16" t="n">
        <f aca="false">IF(A652=A651,C652-C651,"")</f>
        <v>3.77999999999997</v>
      </c>
      <c r="G652" s="16" t="n">
        <f aca="false">IF(A652=A651,IF(F652&gt;0,F652,0),"")</f>
        <v>3.77999999999997</v>
      </c>
      <c r="H652" s="16" t="n">
        <f aca="false">IF(A652=A651,IF(F652&lt;0,-F652,0),"")</f>
        <v>0</v>
      </c>
    </row>
    <row r="653" customFormat="false" ht="15" hidden="false" customHeight="false" outlineLevel="0" collapsed="false">
      <c r="A653" s="14" t="s">
        <v>94</v>
      </c>
      <c r="B653" s="15" t="n">
        <v>46057</v>
      </c>
      <c r="C653" s="14" t="n">
        <v>2017.91</v>
      </c>
      <c r="D653" s="14" t="n">
        <v>1799121</v>
      </c>
      <c r="E653" s="16" t="n">
        <f aca="false">COUNTIFS($A$2:$A$1561,A653,$B$2:$B$1561,"&gt;"&amp;B653)+1</f>
        <v>129</v>
      </c>
      <c r="F653" s="16" t="n">
        <f aca="false">IF(A653=A652,C653-C652,"")</f>
        <v>-2.61999999999989</v>
      </c>
      <c r="G653" s="16" t="n">
        <f aca="false">IF(A653=A652,IF(F653&gt;0,F653,0),"")</f>
        <v>0</v>
      </c>
      <c r="H653" s="16" t="n">
        <f aca="false">IF(A653=A652,IF(F653&lt;0,-F653,0),"")</f>
        <v>2.61999999999989</v>
      </c>
    </row>
    <row r="654" customFormat="false" ht="15" hidden="false" customHeight="false" outlineLevel="0" collapsed="false">
      <c r="A654" s="14" t="s">
        <v>94</v>
      </c>
      <c r="B654" s="15" t="n">
        <v>46058</v>
      </c>
      <c r="C654" s="14" t="n">
        <v>2009.9</v>
      </c>
      <c r="D654" s="14" t="n">
        <v>726897</v>
      </c>
      <c r="E654" s="16" t="n">
        <f aca="false">COUNTIFS($A$2:$A$1561,A654,$B$2:$B$1561,"&gt;"&amp;B654)+1</f>
        <v>128</v>
      </c>
      <c r="F654" s="16" t="n">
        <f aca="false">IF(A654=A653,C654-C653,"")</f>
        <v>-8.00999999999999</v>
      </c>
      <c r="G654" s="16" t="n">
        <f aca="false">IF(A654=A653,IF(F654&gt;0,F654,0),"")</f>
        <v>0</v>
      </c>
      <c r="H654" s="16" t="n">
        <f aca="false">IF(A654=A653,IF(F654&lt;0,-F654,0),"")</f>
        <v>8.00999999999999</v>
      </c>
    </row>
    <row r="655" customFormat="false" ht="15" hidden="false" customHeight="false" outlineLevel="0" collapsed="false">
      <c r="A655" s="14" t="s">
        <v>94</v>
      </c>
      <c r="B655" s="15" t="n">
        <v>46059</v>
      </c>
      <c r="C655" s="14" t="n">
        <v>2019.52</v>
      </c>
      <c r="D655" s="14" t="n">
        <v>1498087</v>
      </c>
      <c r="E655" s="16" t="n">
        <f aca="false">COUNTIFS($A$2:$A$1561,A655,$B$2:$B$1561,"&gt;"&amp;B655)+1</f>
        <v>127</v>
      </c>
      <c r="F655" s="16" t="n">
        <f aca="false">IF(A655=A654,C655-C654,"")</f>
        <v>9.61999999999989</v>
      </c>
      <c r="G655" s="16" t="n">
        <f aca="false">IF(A655=A654,IF(F655&gt;0,F655,0),"")</f>
        <v>9.61999999999989</v>
      </c>
      <c r="H655" s="16" t="n">
        <f aca="false">IF(A655=A654,IF(F655&lt;0,-F655,0),"")</f>
        <v>0</v>
      </c>
    </row>
    <row r="656" customFormat="false" ht="15" hidden="false" customHeight="false" outlineLevel="0" collapsed="false">
      <c r="A656" s="14" t="s">
        <v>94</v>
      </c>
      <c r="B656" s="15" t="n">
        <v>46062</v>
      </c>
      <c r="C656" s="14" t="n">
        <v>2016.5</v>
      </c>
      <c r="D656" s="14" t="n">
        <v>1623345</v>
      </c>
      <c r="E656" s="16" t="n">
        <f aca="false">COUNTIFS($A$2:$A$1561,A656,$B$2:$B$1561,"&gt;"&amp;B656)+1</f>
        <v>126</v>
      </c>
      <c r="F656" s="16" t="n">
        <f aca="false">IF(A656=A655,C656-C655,"")</f>
        <v>-3.01999999999998</v>
      </c>
      <c r="G656" s="16" t="n">
        <f aca="false">IF(A656=A655,IF(F656&gt;0,F656,0),"")</f>
        <v>0</v>
      </c>
      <c r="H656" s="16" t="n">
        <f aca="false">IF(A656=A655,IF(F656&lt;0,-F656,0),"")</f>
        <v>3.01999999999998</v>
      </c>
    </row>
    <row r="657" customFormat="false" ht="15" hidden="false" customHeight="false" outlineLevel="0" collapsed="false">
      <c r="A657" s="14" t="s">
        <v>94</v>
      </c>
      <c r="B657" s="15" t="n">
        <v>46063</v>
      </c>
      <c r="C657" s="14" t="n">
        <v>2008.94</v>
      </c>
      <c r="D657" s="14" t="n">
        <v>1020579</v>
      </c>
      <c r="E657" s="16" t="n">
        <f aca="false">COUNTIFS($A$2:$A$1561,A657,$B$2:$B$1561,"&gt;"&amp;B657)+1</f>
        <v>125</v>
      </c>
      <c r="F657" s="16" t="n">
        <f aca="false">IF(A657=A656,C657-C656,"")</f>
        <v>-7.55999999999995</v>
      </c>
      <c r="G657" s="16" t="n">
        <f aca="false">IF(A657=A656,IF(F657&gt;0,F657,0),"")</f>
        <v>0</v>
      </c>
      <c r="H657" s="16" t="n">
        <f aca="false">IF(A657=A656,IF(F657&lt;0,-F657,0),"")</f>
        <v>7.55999999999995</v>
      </c>
    </row>
    <row r="658" customFormat="false" ht="15" hidden="false" customHeight="false" outlineLevel="0" collapsed="false">
      <c r="A658" s="14" t="s">
        <v>94</v>
      </c>
      <c r="B658" s="15" t="n">
        <v>46064</v>
      </c>
      <c r="C658" s="14" t="n">
        <v>2008.08</v>
      </c>
      <c r="D658" s="14" t="n">
        <v>2492730</v>
      </c>
      <c r="E658" s="16" t="n">
        <f aca="false">COUNTIFS($A$2:$A$1561,A658,$B$2:$B$1561,"&gt;"&amp;B658)+1</f>
        <v>124</v>
      </c>
      <c r="F658" s="16" t="n">
        <f aca="false">IF(A658=A657,C658-C657,"")</f>
        <v>-0.860000000000127</v>
      </c>
      <c r="G658" s="16" t="n">
        <f aca="false">IF(A658=A657,IF(F658&gt;0,F658,0),"")</f>
        <v>0</v>
      </c>
      <c r="H658" s="16" t="n">
        <f aca="false">IF(A658=A657,IF(F658&lt;0,-F658,0),"")</f>
        <v>0.860000000000127</v>
      </c>
    </row>
    <row r="659" customFormat="false" ht="15" hidden="false" customHeight="false" outlineLevel="0" collapsed="false">
      <c r="A659" s="14" t="s">
        <v>94</v>
      </c>
      <c r="B659" s="15" t="n">
        <v>46065</v>
      </c>
      <c r="C659" s="14" t="n">
        <v>2001.42</v>
      </c>
      <c r="D659" s="14" t="n">
        <v>2332957</v>
      </c>
      <c r="E659" s="16" t="n">
        <f aca="false">COUNTIFS($A$2:$A$1561,A659,$B$2:$B$1561,"&gt;"&amp;B659)+1</f>
        <v>123</v>
      </c>
      <c r="F659" s="16" t="n">
        <f aca="false">IF(A659=A658,C659-C658,"")</f>
        <v>-6.65999999999985</v>
      </c>
      <c r="G659" s="16" t="n">
        <f aca="false">IF(A659=A658,IF(F659&gt;0,F659,0),"")</f>
        <v>0</v>
      </c>
      <c r="H659" s="16" t="n">
        <f aca="false">IF(A659=A658,IF(F659&lt;0,-F659,0),"")</f>
        <v>6.65999999999985</v>
      </c>
    </row>
    <row r="660" customFormat="false" ht="15" hidden="false" customHeight="false" outlineLevel="0" collapsed="false">
      <c r="A660" s="14" t="s">
        <v>94</v>
      </c>
      <c r="B660" s="15" t="n">
        <v>46066</v>
      </c>
      <c r="C660" s="14" t="n">
        <v>2002.18</v>
      </c>
      <c r="D660" s="14" t="n">
        <v>745274</v>
      </c>
      <c r="E660" s="16" t="n">
        <f aca="false">COUNTIFS($A$2:$A$1561,A660,$B$2:$B$1561,"&gt;"&amp;B660)+1</f>
        <v>122</v>
      </c>
      <c r="F660" s="16" t="n">
        <f aca="false">IF(A660=A659,C660-C659,"")</f>
        <v>0.759999999999991</v>
      </c>
      <c r="G660" s="16" t="n">
        <f aca="false">IF(A660=A659,IF(F660&gt;0,F660,0),"")</f>
        <v>0.759999999999991</v>
      </c>
      <c r="H660" s="16" t="n">
        <f aca="false">IF(A660=A659,IF(F660&lt;0,-F660,0),"")</f>
        <v>0</v>
      </c>
    </row>
    <row r="661" customFormat="false" ht="15" hidden="false" customHeight="false" outlineLevel="0" collapsed="false">
      <c r="A661" s="14" t="s">
        <v>94</v>
      </c>
      <c r="B661" s="15" t="n">
        <v>46069</v>
      </c>
      <c r="C661" s="14" t="n">
        <v>2015.98</v>
      </c>
      <c r="D661" s="14" t="n">
        <v>1404085</v>
      </c>
      <c r="E661" s="16" t="n">
        <f aca="false">COUNTIFS($A$2:$A$1561,A661,$B$2:$B$1561,"&gt;"&amp;B661)+1</f>
        <v>121</v>
      </c>
      <c r="F661" s="16" t="n">
        <f aca="false">IF(A661=A660,C661-C660,"")</f>
        <v>13.8</v>
      </c>
      <c r="G661" s="16" t="n">
        <f aca="false">IF(A661=A660,IF(F661&gt;0,F661,0),"")</f>
        <v>13.8</v>
      </c>
      <c r="H661" s="16" t="n">
        <f aca="false">IF(A661=A660,IF(F661&lt;0,-F661,0),"")</f>
        <v>0</v>
      </c>
    </row>
    <row r="662" customFormat="false" ht="15" hidden="false" customHeight="false" outlineLevel="0" collapsed="false">
      <c r="A662" s="14" t="s">
        <v>94</v>
      </c>
      <c r="B662" s="15" t="n">
        <v>46070</v>
      </c>
      <c r="C662" s="14" t="n">
        <v>2031.53</v>
      </c>
      <c r="D662" s="14" t="n">
        <v>1390222</v>
      </c>
      <c r="E662" s="16" t="n">
        <f aca="false">COUNTIFS($A$2:$A$1561,A662,$B$2:$B$1561,"&gt;"&amp;B662)+1</f>
        <v>120</v>
      </c>
      <c r="F662" s="16" t="n">
        <f aca="false">IF(A662=A661,C662-C661,"")</f>
        <v>15.55</v>
      </c>
      <c r="G662" s="16" t="n">
        <f aca="false">IF(A662=A661,IF(F662&gt;0,F662,0),"")</f>
        <v>15.55</v>
      </c>
      <c r="H662" s="16" t="n">
        <f aca="false">IF(A662=A661,IF(F662&lt;0,-F662,0),"")</f>
        <v>0</v>
      </c>
    </row>
    <row r="663" customFormat="false" ht="15" hidden="false" customHeight="false" outlineLevel="0" collapsed="false">
      <c r="A663" s="14" t="s">
        <v>94</v>
      </c>
      <c r="B663" s="15" t="n">
        <v>46071</v>
      </c>
      <c r="C663" s="14" t="n">
        <v>2017.56</v>
      </c>
      <c r="D663" s="14" t="n">
        <v>1863858</v>
      </c>
      <c r="E663" s="16" t="n">
        <f aca="false">COUNTIFS($A$2:$A$1561,A663,$B$2:$B$1561,"&gt;"&amp;B663)+1</f>
        <v>119</v>
      </c>
      <c r="F663" s="16" t="n">
        <f aca="false">IF(A663=A662,C663-C662,"")</f>
        <v>-13.97</v>
      </c>
      <c r="G663" s="16" t="n">
        <f aca="false">IF(A663=A662,IF(F663&gt;0,F663,0),"")</f>
        <v>0</v>
      </c>
      <c r="H663" s="16" t="n">
        <f aca="false">IF(A663=A662,IF(F663&lt;0,-F663,0),"")</f>
        <v>13.97</v>
      </c>
    </row>
    <row r="664" customFormat="false" ht="15" hidden="false" customHeight="false" outlineLevel="0" collapsed="false">
      <c r="A664" s="14" t="s">
        <v>94</v>
      </c>
      <c r="B664" s="15" t="n">
        <v>46072</v>
      </c>
      <c r="C664" s="14" t="n">
        <v>2031.19</v>
      </c>
      <c r="D664" s="14" t="n">
        <v>1139175</v>
      </c>
      <c r="E664" s="16" t="n">
        <f aca="false">COUNTIFS($A$2:$A$1561,A664,$B$2:$B$1561,"&gt;"&amp;B664)+1</f>
        <v>118</v>
      </c>
      <c r="F664" s="16" t="n">
        <f aca="false">IF(A664=A663,C664-C663,"")</f>
        <v>13.6300000000001</v>
      </c>
      <c r="G664" s="16" t="n">
        <f aca="false">IF(A664=A663,IF(F664&gt;0,F664,0),"")</f>
        <v>13.6300000000001</v>
      </c>
      <c r="H664" s="16" t="n">
        <f aca="false">IF(A664=A663,IF(F664&lt;0,-F664,0),"")</f>
        <v>0</v>
      </c>
    </row>
    <row r="665" customFormat="false" ht="15" hidden="false" customHeight="false" outlineLevel="0" collapsed="false">
      <c r="A665" s="14" t="s">
        <v>94</v>
      </c>
      <c r="B665" s="15" t="n">
        <v>46073</v>
      </c>
      <c r="C665" s="14" t="n">
        <v>2026.71</v>
      </c>
      <c r="D665" s="14" t="n">
        <v>629878</v>
      </c>
      <c r="E665" s="16" t="n">
        <f aca="false">COUNTIFS($A$2:$A$1561,A665,$B$2:$B$1561,"&gt;"&amp;B665)+1</f>
        <v>117</v>
      </c>
      <c r="F665" s="16" t="n">
        <f aca="false">IF(A665=A664,C665-C664,"")</f>
        <v>-4.48000000000002</v>
      </c>
      <c r="G665" s="16" t="n">
        <f aca="false">IF(A665=A664,IF(F665&gt;0,F665,0),"")</f>
        <v>0</v>
      </c>
      <c r="H665" s="16" t="n">
        <f aca="false">IF(A665=A664,IF(F665&lt;0,-F665,0),"")</f>
        <v>4.48000000000002</v>
      </c>
    </row>
    <row r="666" customFormat="false" ht="15" hidden="false" customHeight="false" outlineLevel="0" collapsed="false">
      <c r="A666" s="14" t="s">
        <v>94</v>
      </c>
      <c r="B666" s="15" t="n">
        <v>46076</v>
      </c>
      <c r="C666" s="14" t="n">
        <v>2029.35</v>
      </c>
      <c r="D666" s="14" t="n">
        <v>2282663</v>
      </c>
      <c r="E666" s="16" t="n">
        <f aca="false">COUNTIFS($A$2:$A$1561,A666,$B$2:$B$1561,"&gt;"&amp;B666)+1</f>
        <v>116</v>
      </c>
      <c r="F666" s="16" t="n">
        <f aca="false">IF(A666=A665,C666-C665,"")</f>
        <v>2.63999999999987</v>
      </c>
      <c r="G666" s="16" t="n">
        <f aca="false">IF(A666=A665,IF(F666&gt;0,F666,0),"")</f>
        <v>2.63999999999987</v>
      </c>
      <c r="H666" s="16" t="n">
        <f aca="false">IF(A666=A665,IF(F666&lt;0,-F666,0),"")</f>
        <v>0</v>
      </c>
    </row>
    <row r="667" customFormat="false" ht="15" hidden="false" customHeight="false" outlineLevel="0" collapsed="false">
      <c r="A667" s="14" t="s">
        <v>94</v>
      </c>
      <c r="B667" s="15" t="n">
        <v>46077</v>
      </c>
      <c r="C667" s="14" t="n">
        <v>2043.28</v>
      </c>
      <c r="D667" s="14" t="n">
        <v>1923618</v>
      </c>
      <c r="E667" s="16" t="n">
        <f aca="false">COUNTIFS($A$2:$A$1561,A667,$B$2:$B$1561,"&gt;"&amp;B667)+1</f>
        <v>115</v>
      </c>
      <c r="F667" s="16" t="n">
        <f aca="false">IF(A667=A666,C667-C666,"")</f>
        <v>13.9300000000001</v>
      </c>
      <c r="G667" s="16" t="n">
        <f aca="false">IF(A667=A666,IF(F667&gt;0,F667,0),"")</f>
        <v>13.9300000000001</v>
      </c>
      <c r="H667" s="16" t="n">
        <f aca="false">IF(A667=A666,IF(F667&lt;0,-F667,0),"")</f>
        <v>0</v>
      </c>
    </row>
    <row r="668" customFormat="false" ht="15" hidden="false" customHeight="false" outlineLevel="0" collapsed="false">
      <c r="A668" s="14" t="s">
        <v>94</v>
      </c>
      <c r="B668" s="15" t="n">
        <v>46078</v>
      </c>
      <c r="C668" s="14" t="n">
        <v>2060.1</v>
      </c>
      <c r="D668" s="14" t="n">
        <v>1775400</v>
      </c>
      <c r="E668" s="16" t="n">
        <f aca="false">COUNTIFS($A$2:$A$1561,A668,$B$2:$B$1561,"&gt;"&amp;B668)+1</f>
        <v>114</v>
      </c>
      <c r="F668" s="16" t="n">
        <f aca="false">IF(A668=A667,C668-C667,"")</f>
        <v>16.8199999999999</v>
      </c>
      <c r="G668" s="16" t="n">
        <f aca="false">IF(A668=A667,IF(F668&gt;0,F668,0),"")</f>
        <v>16.8199999999999</v>
      </c>
      <c r="H668" s="16" t="n">
        <f aca="false">IF(A668=A667,IF(F668&lt;0,-F668,0),"")</f>
        <v>0</v>
      </c>
    </row>
    <row r="669" customFormat="false" ht="15" hidden="false" customHeight="false" outlineLevel="0" collapsed="false">
      <c r="A669" s="14" t="s">
        <v>94</v>
      </c>
      <c r="B669" s="15" t="n">
        <v>46079</v>
      </c>
      <c r="C669" s="14" t="n">
        <v>2072.1</v>
      </c>
      <c r="D669" s="14" t="n">
        <v>1517511</v>
      </c>
      <c r="E669" s="16" t="n">
        <f aca="false">COUNTIFS($A$2:$A$1561,A669,$B$2:$B$1561,"&gt;"&amp;B669)+1</f>
        <v>113</v>
      </c>
      <c r="F669" s="16" t="n">
        <f aca="false">IF(A669=A668,C669-C668,"")</f>
        <v>12</v>
      </c>
      <c r="G669" s="16" t="n">
        <f aca="false">IF(A669=A668,IF(F669&gt;0,F669,0),"")</f>
        <v>12</v>
      </c>
      <c r="H669" s="16" t="n">
        <f aca="false">IF(A669=A668,IF(F669&lt;0,-F669,0),"")</f>
        <v>0</v>
      </c>
    </row>
    <row r="670" customFormat="false" ht="15" hidden="false" customHeight="false" outlineLevel="0" collapsed="false">
      <c r="A670" s="14" t="s">
        <v>94</v>
      </c>
      <c r="B670" s="15" t="n">
        <v>46080</v>
      </c>
      <c r="C670" s="14" t="n">
        <v>2059.1</v>
      </c>
      <c r="D670" s="14" t="n">
        <v>901960</v>
      </c>
      <c r="E670" s="16" t="n">
        <f aca="false">COUNTIFS($A$2:$A$1561,A670,$B$2:$B$1561,"&gt;"&amp;B670)+1</f>
        <v>112</v>
      </c>
      <c r="F670" s="16" t="n">
        <f aca="false">IF(A670=A669,C670-C669,"")</f>
        <v>-13</v>
      </c>
      <c r="G670" s="16" t="n">
        <f aca="false">IF(A670=A669,IF(F670&gt;0,F670,0),"")</f>
        <v>0</v>
      </c>
      <c r="H670" s="16" t="n">
        <f aca="false">IF(A670=A669,IF(F670&lt;0,-F670,0),"")</f>
        <v>13</v>
      </c>
    </row>
    <row r="671" customFormat="false" ht="15" hidden="false" customHeight="false" outlineLevel="0" collapsed="false">
      <c r="A671" s="14" t="s">
        <v>94</v>
      </c>
      <c r="B671" s="15" t="n">
        <v>46083</v>
      </c>
      <c r="C671" s="14" t="n">
        <v>2046.82</v>
      </c>
      <c r="D671" s="14" t="n">
        <v>2080746</v>
      </c>
      <c r="E671" s="16" t="n">
        <f aca="false">COUNTIFS($A$2:$A$1561,A671,$B$2:$B$1561,"&gt;"&amp;B671)+1</f>
        <v>111</v>
      </c>
      <c r="F671" s="16" t="n">
        <f aca="false">IF(A671=A670,C671-C670,"")</f>
        <v>-12.28</v>
      </c>
      <c r="G671" s="16" t="n">
        <f aca="false">IF(A671=A670,IF(F671&gt;0,F671,0),"")</f>
        <v>0</v>
      </c>
      <c r="H671" s="16" t="n">
        <f aca="false">IF(A671=A670,IF(F671&lt;0,-F671,0),"")</f>
        <v>12.28</v>
      </c>
    </row>
    <row r="672" customFormat="false" ht="15" hidden="false" customHeight="false" outlineLevel="0" collapsed="false">
      <c r="A672" s="14" t="s">
        <v>94</v>
      </c>
      <c r="B672" s="15" t="n">
        <v>46084</v>
      </c>
      <c r="C672" s="14" t="n">
        <v>2030.48</v>
      </c>
      <c r="D672" s="14" t="n">
        <v>1608042</v>
      </c>
      <c r="E672" s="16" t="n">
        <f aca="false">COUNTIFS($A$2:$A$1561,A672,$B$2:$B$1561,"&gt;"&amp;B672)+1</f>
        <v>110</v>
      </c>
      <c r="F672" s="16" t="n">
        <f aca="false">IF(A672=A671,C672-C671,"")</f>
        <v>-16.3399999999999</v>
      </c>
      <c r="G672" s="16" t="n">
        <f aca="false">IF(A672=A671,IF(F672&gt;0,F672,0),"")</f>
        <v>0</v>
      </c>
      <c r="H672" s="16" t="n">
        <f aca="false">IF(A672=A671,IF(F672&lt;0,-F672,0),"")</f>
        <v>16.3399999999999</v>
      </c>
    </row>
    <row r="673" customFormat="false" ht="15" hidden="false" customHeight="false" outlineLevel="0" collapsed="false">
      <c r="A673" s="14" t="s">
        <v>94</v>
      </c>
      <c r="B673" s="15" t="n">
        <v>46085</v>
      </c>
      <c r="C673" s="14" t="n">
        <v>2026.78</v>
      </c>
      <c r="D673" s="14" t="n">
        <v>2107323</v>
      </c>
      <c r="E673" s="16" t="n">
        <f aca="false">COUNTIFS($A$2:$A$1561,A673,$B$2:$B$1561,"&gt;"&amp;B673)+1</f>
        <v>109</v>
      </c>
      <c r="F673" s="16" t="n">
        <f aca="false">IF(A673=A672,C673-C672,"")</f>
        <v>-3.70000000000005</v>
      </c>
      <c r="G673" s="16" t="n">
        <f aca="false">IF(A673=A672,IF(F673&gt;0,F673,0),"")</f>
        <v>0</v>
      </c>
      <c r="H673" s="16" t="n">
        <f aca="false">IF(A673=A672,IF(F673&lt;0,-F673,0),"")</f>
        <v>3.70000000000005</v>
      </c>
    </row>
    <row r="674" customFormat="false" ht="15" hidden="false" customHeight="false" outlineLevel="0" collapsed="false">
      <c r="A674" s="14" t="s">
        <v>94</v>
      </c>
      <c r="B674" s="15" t="n">
        <v>46086</v>
      </c>
      <c r="C674" s="14" t="n">
        <v>2029.76</v>
      </c>
      <c r="D674" s="14" t="n">
        <v>1723896</v>
      </c>
      <c r="E674" s="16" t="n">
        <f aca="false">COUNTIFS($A$2:$A$1561,A674,$B$2:$B$1561,"&gt;"&amp;B674)+1</f>
        <v>108</v>
      </c>
      <c r="F674" s="16" t="n">
        <f aca="false">IF(A674=A673,C674-C673,"")</f>
        <v>2.98000000000002</v>
      </c>
      <c r="G674" s="16" t="n">
        <f aca="false">IF(A674=A673,IF(F674&gt;0,F674,0),"")</f>
        <v>2.98000000000002</v>
      </c>
      <c r="H674" s="16" t="n">
        <f aca="false">IF(A674=A673,IF(F674&lt;0,-F674,0),"")</f>
        <v>0</v>
      </c>
    </row>
    <row r="675" customFormat="false" ht="15" hidden="false" customHeight="false" outlineLevel="0" collapsed="false">
      <c r="A675" s="14" t="s">
        <v>94</v>
      </c>
      <c r="B675" s="15" t="n">
        <v>46087</v>
      </c>
      <c r="C675" s="14" t="n">
        <v>2015.74</v>
      </c>
      <c r="D675" s="14" t="n">
        <v>1118581</v>
      </c>
      <c r="E675" s="16" t="n">
        <f aca="false">COUNTIFS($A$2:$A$1561,A675,$B$2:$B$1561,"&gt;"&amp;B675)+1</f>
        <v>107</v>
      </c>
      <c r="F675" s="16" t="n">
        <f aca="false">IF(A675=A674,C675-C674,"")</f>
        <v>-14.02</v>
      </c>
      <c r="G675" s="16" t="n">
        <f aca="false">IF(A675=A674,IF(F675&gt;0,F675,0),"")</f>
        <v>0</v>
      </c>
      <c r="H675" s="16" t="n">
        <f aca="false">IF(A675=A674,IF(F675&lt;0,-F675,0),"")</f>
        <v>14.02</v>
      </c>
    </row>
    <row r="676" customFormat="false" ht="15" hidden="false" customHeight="false" outlineLevel="0" collapsed="false">
      <c r="A676" s="14" t="s">
        <v>94</v>
      </c>
      <c r="B676" s="15" t="n">
        <v>46090</v>
      </c>
      <c r="C676" s="14" t="n">
        <v>2034.95</v>
      </c>
      <c r="D676" s="14" t="n">
        <v>1937739</v>
      </c>
      <c r="E676" s="16" t="n">
        <f aca="false">COUNTIFS($A$2:$A$1561,A676,$B$2:$B$1561,"&gt;"&amp;B676)+1</f>
        <v>106</v>
      </c>
      <c r="F676" s="16" t="n">
        <f aca="false">IF(A676=A675,C676-C675,"")</f>
        <v>19.21</v>
      </c>
      <c r="G676" s="16" t="n">
        <f aca="false">IF(A676=A675,IF(F676&gt;0,F676,0),"")</f>
        <v>19.21</v>
      </c>
      <c r="H676" s="16" t="n">
        <f aca="false">IF(A676=A675,IF(F676&lt;0,-F676,0),"")</f>
        <v>0</v>
      </c>
    </row>
    <row r="677" customFormat="false" ht="15" hidden="false" customHeight="false" outlineLevel="0" collapsed="false">
      <c r="A677" s="14" t="s">
        <v>94</v>
      </c>
      <c r="B677" s="15" t="n">
        <v>46091</v>
      </c>
      <c r="C677" s="14" t="n">
        <v>2036.99</v>
      </c>
      <c r="D677" s="14" t="n">
        <v>2038329</v>
      </c>
      <c r="E677" s="16" t="n">
        <f aca="false">COUNTIFS($A$2:$A$1561,A677,$B$2:$B$1561,"&gt;"&amp;B677)+1</f>
        <v>105</v>
      </c>
      <c r="F677" s="16" t="n">
        <f aca="false">IF(A677=A676,C677-C676,"")</f>
        <v>2.03999999999996</v>
      </c>
      <c r="G677" s="16" t="n">
        <f aca="false">IF(A677=A676,IF(F677&gt;0,F677,0),"")</f>
        <v>2.03999999999996</v>
      </c>
      <c r="H677" s="16" t="n">
        <f aca="false">IF(A677=A676,IF(F677&lt;0,-F677,0),"")</f>
        <v>0</v>
      </c>
    </row>
    <row r="678" customFormat="false" ht="15" hidden="false" customHeight="false" outlineLevel="0" collapsed="false">
      <c r="A678" s="14" t="s">
        <v>94</v>
      </c>
      <c r="B678" s="15" t="n">
        <v>46092</v>
      </c>
      <c r="C678" s="14" t="n">
        <v>2049.95</v>
      </c>
      <c r="D678" s="14" t="n">
        <v>647501</v>
      </c>
      <c r="E678" s="16" t="n">
        <f aca="false">COUNTIFS($A$2:$A$1561,A678,$B$2:$B$1561,"&gt;"&amp;B678)+1</f>
        <v>104</v>
      </c>
      <c r="F678" s="16" t="n">
        <f aca="false">IF(A678=A677,C678-C677,"")</f>
        <v>12.9599999999998</v>
      </c>
      <c r="G678" s="16" t="n">
        <f aca="false">IF(A678=A677,IF(F678&gt;0,F678,0),"")</f>
        <v>12.9599999999998</v>
      </c>
      <c r="H678" s="16" t="n">
        <f aca="false">IF(A678=A677,IF(F678&lt;0,-F678,0),"")</f>
        <v>0</v>
      </c>
    </row>
    <row r="679" customFormat="false" ht="15" hidden="false" customHeight="false" outlineLevel="0" collapsed="false">
      <c r="A679" s="14" t="s">
        <v>94</v>
      </c>
      <c r="B679" s="15" t="n">
        <v>46093</v>
      </c>
      <c r="C679" s="14" t="n">
        <v>2068.49</v>
      </c>
      <c r="D679" s="14" t="n">
        <v>1784677</v>
      </c>
      <c r="E679" s="16" t="n">
        <f aca="false">COUNTIFS($A$2:$A$1561,A679,$B$2:$B$1561,"&gt;"&amp;B679)+1</f>
        <v>103</v>
      </c>
      <c r="F679" s="16" t="n">
        <f aca="false">IF(A679=A678,C679-C678,"")</f>
        <v>18.54</v>
      </c>
      <c r="G679" s="16" t="n">
        <f aca="false">IF(A679=A678,IF(F679&gt;0,F679,0),"")</f>
        <v>18.54</v>
      </c>
      <c r="H679" s="16" t="n">
        <f aca="false">IF(A679=A678,IF(F679&lt;0,-F679,0),"")</f>
        <v>0</v>
      </c>
    </row>
    <row r="680" customFormat="false" ht="15" hidden="false" customHeight="false" outlineLevel="0" collapsed="false">
      <c r="A680" s="14" t="s">
        <v>94</v>
      </c>
      <c r="B680" s="15" t="n">
        <v>46094</v>
      </c>
      <c r="C680" s="14" t="n">
        <v>2067.74</v>
      </c>
      <c r="D680" s="14" t="n">
        <v>1860217</v>
      </c>
      <c r="E680" s="16" t="n">
        <f aca="false">COUNTIFS($A$2:$A$1561,A680,$B$2:$B$1561,"&gt;"&amp;B680)+1</f>
        <v>102</v>
      </c>
      <c r="F680" s="16" t="n">
        <f aca="false">IF(A680=A679,C680-C679,"")</f>
        <v>-0.75</v>
      </c>
      <c r="G680" s="16" t="n">
        <f aca="false">IF(A680=A679,IF(F680&gt;0,F680,0),"")</f>
        <v>0</v>
      </c>
      <c r="H680" s="16" t="n">
        <f aca="false">IF(A680=A679,IF(F680&lt;0,-F680,0),"")</f>
        <v>0.75</v>
      </c>
    </row>
    <row r="681" customFormat="false" ht="15" hidden="false" customHeight="false" outlineLevel="0" collapsed="false">
      <c r="A681" s="14" t="s">
        <v>94</v>
      </c>
      <c r="B681" s="15" t="n">
        <v>46097</v>
      </c>
      <c r="C681" s="14" t="n">
        <v>2063.07</v>
      </c>
      <c r="D681" s="14" t="n">
        <v>2255920</v>
      </c>
      <c r="E681" s="16" t="n">
        <f aca="false">COUNTIFS($A$2:$A$1561,A681,$B$2:$B$1561,"&gt;"&amp;B681)+1</f>
        <v>101</v>
      </c>
      <c r="F681" s="16" t="n">
        <f aca="false">IF(A681=A680,C681-C680,"")</f>
        <v>-4.66999999999962</v>
      </c>
      <c r="G681" s="16" t="n">
        <f aca="false">IF(A681=A680,IF(F681&gt;0,F681,0),"")</f>
        <v>0</v>
      </c>
      <c r="H681" s="16" t="n">
        <f aca="false">IF(A681=A680,IF(F681&lt;0,-F681,0),"")</f>
        <v>4.66999999999962</v>
      </c>
    </row>
    <row r="682" customFormat="false" ht="15" hidden="false" customHeight="false" outlineLevel="0" collapsed="false">
      <c r="A682" s="14" t="s">
        <v>94</v>
      </c>
      <c r="B682" s="15" t="n">
        <v>46098</v>
      </c>
      <c r="C682" s="14" t="n">
        <v>2074.59</v>
      </c>
      <c r="D682" s="14" t="n">
        <v>1779587</v>
      </c>
      <c r="E682" s="16" t="n">
        <f aca="false">COUNTIFS($A$2:$A$1561,A682,$B$2:$B$1561,"&gt;"&amp;B682)+1</f>
        <v>100</v>
      </c>
      <c r="F682" s="16" t="n">
        <f aca="false">IF(A682=A681,C682-C681,"")</f>
        <v>11.52</v>
      </c>
      <c r="G682" s="16" t="n">
        <f aca="false">IF(A682=A681,IF(F682&gt;0,F682,0),"")</f>
        <v>11.52</v>
      </c>
      <c r="H682" s="16" t="n">
        <f aca="false">IF(A682=A681,IF(F682&lt;0,-F682,0),"")</f>
        <v>0</v>
      </c>
    </row>
    <row r="683" customFormat="false" ht="15" hidden="false" customHeight="false" outlineLevel="0" collapsed="false">
      <c r="A683" s="14" t="s">
        <v>94</v>
      </c>
      <c r="B683" s="15" t="n">
        <v>46099</v>
      </c>
      <c r="C683" s="14" t="n">
        <v>2063.84</v>
      </c>
      <c r="D683" s="14" t="n">
        <v>2432529</v>
      </c>
      <c r="E683" s="16" t="n">
        <f aca="false">COUNTIFS($A$2:$A$1561,A683,$B$2:$B$1561,"&gt;"&amp;B683)+1</f>
        <v>99</v>
      </c>
      <c r="F683" s="16" t="n">
        <f aca="false">IF(A683=A682,C683-C682,"")</f>
        <v>-10.75</v>
      </c>
      <c r="G683" s="16" t="n">
        <f aca="false">IF(A683=A682,IF(F683&gt;0,F683,0),"")</f>
        <v>0</v>
      </c>
      <c r="H683" s="16" t="n">
        <f aca="false">IF(A683=A682,IF(F683&lt;0,-F683,0),"")</f>
        <v>10.75</v>
      </c>
    </row>
    <row r="684" customFormat="false" ht="15" hidden="false" customHeight="false" outlineLevel="0" collapsed="false">
      <c r="A684" s="14" t="s">
        <v>94</v>
      </c>
      <c r="B684" s="15" t="n">
        <v>46100</v>
      </c>
      <c r="C684" s="14" t="n">
        <v>2062.45</v>
      </c>
      <c r="D684" s="14" t="n">
        <v>2321424</v>
      </c>
      <c r="E684" s="16" t="n">
        <f aca="false">COUNTIFS($A$2:$A$1561,A684,$B$2:$B$1561,"&gt;"&amp;B684)+1</f>
        <v>98</v>
      </c>
      <c r="F684" s="16" t="n">
        <f aca="false">IF(A684=A683,C684-C683,"")</f>
        <v>-1.39000000000033</v>
      </c>
      <c r="G684" s="16" t="n">
        <f aca="false">IF(A684=A683,IF(F684&gt;0,F684,0),"")</f>
        <v>0</v>
      </c>
      <c r="H684" s="16" t="n">
        <f aca="false">IF(A684=A683,IF(F684&lt;0,-F684,0),"")</f>
        <v>1.39000000000033</v>
      </c>
    </row>
    <row r="685" customFormat="false" ht="15" hidden="false" customHeight="false" outlineLevel="0" collapsed="false">
      <c r="A685" s="14" t="s">
        <v>94</v>
      </c>
      <c r="B685" s="15" t="n">
        <v>46101</v>
      </c>
      <c r="C685" s="14" t="n">
        <v>2047.06</v>
      </c>
      <c r="D685" s="14" t="n">
        <v>748322</v>
      </c>
      <c r="E685" s="16" t="n">
        <f aca="false">COUNTIFS($A$2:$A$1561,A685,$B$2:$B$1561,"&gt;"&amp;B685)+1</f>
        <v>97</v>
      </c>
      <c r="F685" s="16" t="n">
        <f aca="false">IF(A685=A684,C685-C684,"")</f>
        <v>-15.3899999999999</v>
      </c>
      <c r="G685" s="16" t="n">
        <f aca="false">IF(A685=A684,IF(F685&gt;0,F685,0),"")</f>
        <v>0</v>
      </c>
      <c r="H685" s="16" t="n">
        <f aca="false">IF(A685=A684,IF(F685&lt;0,-F685,0),"")</f>
        <v>15.3899999999999</v>
      </c>
    </row>
    <row r="686" customFormat="false" ht="15" hidden="false" customHeight="false" outlineLevel="0" collapsed="false">
      <c r="A686" s="14" t="s">
        <v>94</v>
      </c>
      <c r="B686" s="15" t="n">
        <v>46104</v>
      </c>
      <c r="C686" s="14" t="n">
        <v>2035.38</v>
      </c>
      <c r="D686" s="14" t="n">
        <v>829314</v>
      </c>
      <c r="E686" s="16" t="n">
        <f aca="false">COUNTIFS($A$2:$A$1561,A686,$B$2:$B$1561,"&gt;"&amp;B686)+1</f>
        <v>96</v>
      </c>
      <c r="F686" s="16" t="n">
        <f aca="false">IF(A686=A685,C686-C685,"")</f>
        <v>-11.6799999999998</v>
      </c>
      <c r="G686" s="16" t="n">
        <f aca="false">IF(A686=A685,IF(F686&gt;0,F686,0),"")</f>
        <v>0</v>
      </c>
      <c r="H686" s="16" t="n">
        <f aca="false">IF(A686=A685,IF(F686&lt;0,-F686,0),"")</f>
        <v>11.6799999999998</v>
      </c>
    </row>
    <row r="687" customFormat="false" ht="15" hidden="false" customHeight="false" outlineLevel="0" collapsed="false">
      <c r="A687" s="14" t="s">
        <v>94</v>
      </c>
      <c r="B687" s="15" t="n">
        <v>46105</v>
      </c>
      <c r="C687" s="14" t="n">
        <v>2029.98</v>
      </c>
      <c r="D687" s="14" t="n">
        <v>1918664</v>
      </c>
      <c r="E687" s="16" t="n">
        <f aca="false">COUNTIFS($A$2:$A$1561,A687,$B$2:$B$1561,"&gt;"&amp;B687)+1</f>
        <v>95</v>
      </c>
      <c r="F687" s="16" t="n">
        <f aca="false">IF(A687=A686,C687-C686,"")</f>
        <v>-5.40000000000009</v>
      </c>
      <c r="G687" s="16" t="n">
        <f aca="false">IF(A687=A686,IF(F687&gt;0,F687,0),"")</f>
        <v>0</v>
      </c>
      <c r="H687" s="16" t="n">
        <f aca="false">IF(A687=A686,IF(F687&lt;0,-F687,0),"")</f>
        <v>5.40000000000009</v>
      </c>
    </row>
    <row r="688" customFormat="false" ht="15" hidden="false" customHeight="false" outlineLevel="0" collapsed="false">
      <c r="A688" s="14" t="s">
        <v>94</v>
      </c>
      <c r="B688" s="15" t="n">
        <v>46106</v>
      </c>
      <c r="C688" s="14" t="n">
        <v>2025.45</v>
      </c>
      <c r="D688" s="14" t="n">
        <v>2381808</v>
      </c>
      <c r="E688" s="16" t="n">
        <f aca="false">COUNTIFS($A$2:$A$1561,A688,$B$2:$B$1561,"&gt;"&amp;B688)+1</f>
        <v>94</v>
      </c>
      <c r="F688" s="16" t="n">
        <f aca="false">IF(A688=A687,C688-C687,"")</f>
        <v>-4.52999999999997</v>
      </c>
      <c r="G688" s="16" t="n">
        <f aca="false">IF(A688=A687,IF(F688&gt;0,F688,0),"")</f>
        <v>0</v>
      </c>
      <c r="H688" s="16" t="n">
        <f aca="false">IF(A688=A687,IF(F688&lt;0,-F688,0),"")</f>
        <v>4.52999999999997</v>
      </c>
    </row>
    <row r="689" customFormat="false" ht="15" hidden="false" customHeight="false" outlineLevel="0" collapsed="false">
      <c r="A689" s="14" t="s">
        <v>94</v>
      </c>
      <c r="B689" s="15" t="n">
        <v>46107</v>
      </c>
      <c r="C689" s="14" t="n">
        <v>2040.94</v>
      </c>
      <c r="D689" s="14" t="n">
        <v>2191867</v>
      </c>
      <c r="E689" s="16" t="n">
        <f aca="false">COUNTIFS($A$2:$A$1561,A689,$B$2:$B$1561,"&gt;"&amp;B689)+1</f>
        <v>93</v>
      </c>
      <c r="F689" s="16" t="n">
        <f aca="false">IF(A689=A688,C689-C688,"")</f>
        <v>15.49</v>
      </c>
      <c r="G689" s="16" t="n">
        <f aca="false">IF(A689=A688,IF(F689&gt;0,F689,0),"")</f>
        <v>15.49</v>
      </c>
      <c r="H689" s="16" t="n">
        <f aca="false">IF(A689=A688,IF(F689&lt;0,-F689,0),"")</f>
        <v>0</v>
      </c>
    </row>
    <row r="690" customFormat="false" ht="15" hidden="false" customHeight="false" outlineLevel="0" collapsed="false">
      <c r="A690" s="14" t="s">
        <v>94</v>
      </c>
      <c r="B690" s="15" t="n">
        <v>46108</v>
      </c>
      <c r="C690" s="14" t="n">
        <v>2032.88</v>
      </c>
      <c r="D690" s="14" t="n">
        <v>1770114</v>
      </c>
      <c r="E690" s="16" t="n">
        <f aca="false">COUNTIFS($A$2:$A$1561,A690,$B$2:$B$1561,"&gt;"&amp;B690)+1</f>
        <v>92</v>
      </c>
      <c r="F690" s="16" t="n">
        <f aca="false">IF(A690=A689,C690-C689,"")</f>
        <v>-8.05999999999995</v>
      </c>
      <c r="G690" s="16" t="n">
        <f aca="false">IF(A690=A689,IF(F690&gt;0,F690,0),"")</f>
        <v>0</v>
      </c>
      <c r="H690" s="16" t="n">
        <f aca="false">IF(A690=A689,IF(F690&lt;0,-F690,0),"")</f>
        <v>8.05999999999995</v>
      </c>
    </row>
    <row r="691" customFormat="false" ht="15" hidden="false" customHeight="false" outlineLevel="0" collapsed="false">
      <c r="A691" s="14" t="s">
        <v>94</v>
      </c>
      <c r="B691" s="15" t="n">
        <v>46111</v>
      </c>
      <c r="C691" s="14" t="n">
        <v>2035.84</v>
      </c>
      <c r="D691" s="14" t="n">
        <v>750340</v>
      </c>
      <c r="E691" s="16" t="n">
        <f aca="false">COUNTIFS($A$2:$A$1561,A691,$B$2:$B$1561,"&gt;"&amp;B691)+1</f>
        <v>91</v>
      </c>
      <c r="F691" s="16" t="n">
        <f aca="false">IF(A691=A690,C691-C690,"")</f>
        <v>2.95999999999981</v>
      </c>
      <c r="G691" s="16" t="n">
        <f aca="false">IF(A691=A690,IF(F691&gt;0,F691,0),"")</f>
        <v>2.95999999999981</v>
      </c>
      <c r="H691" s="16" t="n">
        <f aca="false">IF(A691=A690,IF(F691&lt;0,-F691,0),"")</f>
        <v>0</v>
      </c>
    </row>
    <row r="692" customFormat="false" ht="15" hidden="false" customHeight="false" outlineLevel="0" collapsed="false">
      <c r="A692" s="14" t="s">
        <v>94</v>
      </c>
      <c r="B692" s="15" t="n">
        <v>46112</v>
      </c>
      <c r="C692" s="14" t="n">
        <v>2029.71</v>
      </c>
      <c r="D692" s="14" t="n">
        <v>1566956</v>
      </c>
      <c r="E692" s="16" t="n">
        <f aca="false">COUNTIFS($A$2:$A$1561,A692,$B$2:$B$1561,"&gt;"&amp;B692)+1</f>
        <v>90</v>
      </c>
      <c r="F692" s="16" t="n">
        <f aca="false">IF(A692=A691,C692-C691,"")</f>
        <v>-6.12999999999988</v>
      </c>
      <c r="G692" s="16" t="n">
        <f aca="false">IF(A692=A691,IF(F692&gt;0,F692,0),"")</f>
        <v>0</v>
      </c>
      <c r="H692" s="16" t="n">
        <f aca="false">IF(A692=A691,IF(F692&lt;0,-F692,0),"")</f>
        <v>6.12999999999988</v>
      </c>
    </row>
    <row r="693" customFormat="false" ht="15" hidden="false" customHeight="false" outlineLevel="0" collapsed="false">
      <c r="A693" s="14" t="s">
        <v>94</v>
      </c>
      <c r="B693" s="15" t="n">
        <v>46113</v>
      </c>
      <c r="C693" s="14" t="n">
        <v>2030.9</v>
      </c>
      <c r="D693" s="14" t="n">
        <v>837271</v>
      </c>
      <c r="E693" s="16" t="n">
        <f aca="false">COUNTIFS($A$2:$A$1561,A693,$B$2:$B$1561,"&gt;"&amp;B693)+1</f>
        <v>89</v>
      </c>
      <c r="F693" s="16" t="n">
        <f aca="false">IF(A693=A692,C693-C692,"")</f>
        <v>1.19000000000005</v>
      </c>
      <c r="G693" s="16" t="n">
        <f aca="false">IF(A693=A692,IF(F693&gt;0,F693,0),"")</f>
        <v>1.19000000000005</v>
      </c>
      <c r="H693" s="16" t="n">
        <f aca="false">IF(A693=A692,IF(F693&lt;0,-F693,0),"")</f>
        <v>0</v>
      </c>
    </row>
    <row r="694" customFormat="false" ht="15" hidden="false" customHeight="false" outlineLevel="0" collapsed="false">
      <c r="A694" s="14" t="s">
        <v>94</v>
      </c>
      <c r="B694" s="15" t="n">
        <v>46114</v>
      </c>
      <c r="C694" s="14" t="n">
        <v>2048.14</v>
      </c>
      <c r="D694" s="14" t="n">
        <v>808388</v>
      </c>
      <c r="E694" s="16" t="n">
        <f aca="false">COUNTIFS($A$2:$A$1561,A694,$B$2:$B$1561,"&gt;"&amp;B694)+1</f>
        <v>88</v>
      </c>
      <c r="F694" s="16" t="n">
        <f aca="false">IF(A694=A693,C694-C693,"")</f>
        <v>17.2399999999998</v>
      </c>
      <c r="G694" s="16" t="n">
        <f aca="false">IF(A694=A693,IF(F694&gt;0,F694,0),"")</f>
        <v>17.2399999999998</v>
      </c>
      <c r="H694" s="16" t="n">
        <f aca="false">IF(A694=A693,IF(F694&lt;0,-F694,0),"")</f>
        <v>0</v>
      </c>
    </row>
    <row r="695" customFormat="false" ht="15" hidden="false" customHeight="false" outlineLevel="0" collapsed="false">
      <c r="A695" s="14" t="s">
        <v>94</v>
      </c>
      <c r="B695" s="15" t="n">
        <v>46115</v>
      </c>
      <c r="C695" s="14" t="n">
        <v>2055.1</v>
      </c>
      <c r="D695" s="14" t="n">
        <v>1941265</v>
      </c>
      <c r="E695" s="16" t="n">
        <f aca="false">COUNTIFS($A$2:$A$1561,A695,$B$2:$B$1561,"&gt;"&amp;B695)+1</f>
        <v>87</v>
      </c>
      <c r="F695" s="16" t="n">
        <f aca="false">IF(A695=A694,C695-C694,"")</f>
        <v>6.96000000000004</v>
      </c>
      <c r="G695" s="16" t="n">
        <f aca="false">IF(A695=A694,IF(F695&gt;0,F695,0),"")</f>
        <v>6.96000000000004</v>
      </c>
      <c r="H695" s="16" t="n">
        <f aca="false">IF(A695=A694,IF(F695&lt;0,-F695,0),"")</f>
        <v>0</v>
      </c>
    </row>
    <row r="696" customFormat="false" ht="15" hidden="false" customHeight="false" outlineLevel="0" collapsed="false">
      <c r="A696" s="14" t="s">
        <v>94</v>
      </c>
      <c r="B696" s="15" t="n">
        <v>46118</v>
      </c>
      <c r="C696" s="14" t="n">
        <v>2060.1</v>
      </c>
      <c r="D696" s="14" t="n">
        <v>2185060</v>
      </c>
      <c r="E696" s="16" t="n">
        <f aca="false">COUNTIFS($A$2:$A$1561,A696,$B$2:$B$1561,"&gt;"&amp;B696)+1</f>
        <v>86</v>
      </c>
      <c r="F696" s="16" t="n">
        <f aca="false">IF(A696=A695,C696-C695,"")</f>
        <v>5</v>
      </c>
      <c r="G696" s="16" t="n">
        <f aca="false">IF(A696=A695,IF(F696&gt;0,F696,0),"")</f>
        <v>5</v>
      </c>
      <c r="H696" s="16" t="n">
        <f aca="false">IF(A696=A695,IF(F696&lt;0,-F696,0),"")</f>
        <v>0</v>
      </c>
    </row>
    <row r="697" customFormat="false" ht="15" hidden="false" customHeight="false" outlineLevel="0" collapsed="false">
      <c r="A697" s="14" t="s">
        <v>94</v>
      </c>
      <c r="B697" s="15" t="n">
        <v>46119</v>
      </c>
      <c r="C697" s="14" t="n">
        <v>2063.57</v>
      </c>
      <c r="D697" s="14" t="n">
        <v>2150472</v>
      </c>
      <c r="E697" s="16" t="n">
        <f aca="false">COUNTIFS($A$2:$A$1561,A697,$B$2:$B$1561,"&gt;"&amp;B697)+1</f>
        <v>85</v>
      </c>
      <c r="F697" s="16" t="n">
        <f aca="false">IF(A697=A696,C697-C696,"")</f>
        <v>3.47000000000025</v>
      </c>
      <c r="G697" s="16" t="n">
        <f aca="false">IF(A697=A696,IF(F697&gt;0,F697,0),"")</f>
        <v>3.47000000000025</v>
      </c>
      <c r="H697" s="16" t="n">
        <f aca="false">IF(A697=A696,IF(F697&lt;0,-F697,0),"")</f>
        <v>0</v>
      </c>
    </row>
    <row r="698" customFormat="false" ht="15" hidden="false" customHeight="false" outlineLevel="0" collapsed="false">
      <c r="A698" s="14" t="s">
        <v>94</v>
      </c>
      <c r="B698" s="15" t="n">
        <v>46120</v>
      </c>
      <c r="C698" s="14" t="n">
        <v>2047.17</v>
      </c>
      <c r="D698" s="14" t="n">
        <v>590923</v>
      </c>
      <c r="E698" s="16" t="n">
        <f aca="false">COUNTIFS($A$2:$A$1561,A698,$B$2:$B$1561,"&gt;"&amp;B698)+1</f>
        <v>84</v>
      </c>
      <c r="F698" s="16" t="n">
        <f aca="false">IF(A698=A697,C698-C697,"")</f>
        <v>-16.4000000000001</v>
      </c>
      <c r="G698" s="16" t="n">
        <f aca="false">IF(A698=A697,IF(F698&gt;0,F698,0),"")</f>
        <v>0</v>
      </c>
      <c r="H698" s="16" t="n">
        <f aca="false">IF(A698=A697,IF(F698&lt;0,-F698,0),"")</f>
        <v>16.4000000000001</v>
      </c>
    </row>
    <row r="699" customFormat="false" ht="15" hidden="false" customHeight="false" outlineLevel="0" collapsed="false">
      <c r="A699" s="14" t="s">
        <v>94</v>
      </c>
      <c r="B699" s="15" t="n">
        <v>46121</v>
      </c>
      <c r="C699" s="14" t="n">
        <v>2053.48</v>
      </c>
      <c r="D699" s="14" t="n">
        <v>1653542</v>
      </c>
      <c r="E699" s="16" t="n">
        <f aca="false">COUNTIFS($A$2:$A$1561,A699,$B$2:$B$1561,"&gt;"&amp;B699)+1</f>
        <v>83</v>
      </c>
      <c r="F699" s="16" t="n">
        <f aca="false">IF(A699=A698,C699-C698,"")</f>
        <v>6.30999999999995</v>
      </c>
      <c r="G699" s="16" t="n">
        <f aca="false">IF(A699=A698,IF(F699&gt;0,F699,0),"")</f>
        <v>6.30999999999995</v>
      </c>
      <c r="H699" s="16" t="n">
        <f aca="false">IF(A699=A698,IF(F699&lt;0,-F699,0),"")</f>
        <v>0</v>
      </c>
    </row>
    <row r="700" customFormat="false" ht="15" hidden="false" customHeight="false" outlineLevel="0" collapsed="false">
      <c r="A700" s="14" t="s">
        <v>94</v>
      </c>
      <c r="B700" s="15" t="n">
        <v>46122</v>
      </c>
      <c r="C700" s="14" t="n">
        <v>2060.18</v>
      </c>
      <c r="D700" s="14" t="n">
        <v>2033918</v>
      </c>
      <c r="E700" s="16" t="n">
        <f aca="false">COUNTIFS($A$2:$A$1561,A700,$B$2:$B$1561,"&gt;"&amp;B700)+1</f>
        <v>82</v>
      </c>
      <c r="F700" s="16" t="n">
        <f aca="false">IF(A700=A699,C700-C699,"")</f>
        <v>6.69999999999982</v>
      </c>
      <c r="G700" s="16" t="n">
        <f aca="false">IF(A700=A699,IF(F700&gt;0,F700,0),"")</f>
        <v>6.69999999999982</v>
      </c>
      <c r="H700" s="16" t="n">
        <f aca="false">IF(A700=A699,IF(F700&lt;0,-F700,0),"")</f>
        <v>0</v>
      </c>
    </row>
    <row r="701" customFormat="false" ht="15" hidden="false" customHeight="false" outlineLevel="0" collapsed="false">
      <c r="A701" s="14" t="s">
        <v>94</v>
      </c>
      <c r="B701" s="15" t="n">
        <v>46125</v>
      </c>
      <c r="C701" s="14" t="n">
        <v>2058.2</v>
      </c>
      <c r="D701" s="14" t="n">
        <v>1777982</v>
      </c>
      <c r="E701" s="16" t="n">
        <f aca="false">COUNTIFS($A$2:$A$1561,A701,$B$2:$B$1561,"&gt;"&amp;B701)+1</f>
        <v>81</v>
      </c>
      <c r="F701" s="16" t="n">
        <f aca="false">IF(A701=A700,C701-C700,"")</f>
        <v>-1.98000000000002</v>
      </c>
      <c r="G701" s="16" t="n">
        <f aca="false">IF(A701=A700,IF(F701&gt;0,F701,0),"")</f>
        <v>0</v>
      </c>
      <c r="H701" s="16" t="n">
        <f aca="false">IF(A701=A700,IF(F701&lt;0,-F701,0),"")</f>
        <v>1.98000000000002</v>
      </c>
    </row>
    <row r="702" customFormat="false" ht="15" hidden="false" customHeight="false" outlineLevel="0" collapsed="false">
      <c r="A702" s="14" t="s">
        <v>94</v>
      </c>
      <c r="B702" s="15" t="n">
        <v>46126</v>
      </c>
      <c r="C702" s="14" t="n">
        <v>2059.24</v>
      </c>
      <c r="D702" s="14" t="n">
        <v>1754328</v>
      </c>
      <c r="E702" s="16" t="n">
        <f aca="false">COUNTIFS($A$2:$A$1561,A702,$B$2:$B$1561,"&gt;"&amp;B702)+1</f>
        <v>80</v>
      </c>
      <c r="F702" s="16" t="n">
        <f aca="false">IF(A702=A701,C702-C701,"")</f>
        <v>1.03999999999996</v>
      </c>
      <c r="G702" s="16" t="n">
        <f aca="false">IF(A702=A701,IF(F702&gt;0,F702,0),"")</f>
        <v>1.03999999999996</v>
      </c>
      <c r="H702" s="16" t="n">
        <f aca="false">IF(A702=A701,IF(F702&lt;0,-F702,0),"")</f>
        <v>0</v>
      </c>
    </row>
    <row r="703" customFormat="false" ht="15" hidden="false" customHeight="false" outlineLevel="0" collapsed="false">
      <c r="A703" s="14" t="s">
        <v>94</v>
      </c>
      <c r="B703" s="15" t="n">
        <v>46127</v>
      </c>
      <c r="C703" s="14" t="n">
        <v>2052.55</v>
      </c>
      <c r="D703" s="14" t="n">
        <v>2413300</v>
      </c>
      <c r="E703" s="16" t="n">
        <f aca="false">COUNTIFS($A$2:$A$1561,A703,$B$2:$B$1561,"&gt;"&amp;B703)+1</f>
        <v>79</v>
      </c>
      <c r="F703" s="16" t="n">
        <f aca="false">IF(A703=A702,C703-C702,"")</f>
        <v>-6.6899999999996</v>
      </c>
      <c r="G703" s="16" t="n">
        <f aca="false">IF(A703=A702,IF(F703&gt;0,F703,0),"")</f>
        <v>0</v>
      </c>
      <c r="H703" s="16" t="n">
        <f aca="false">IF(A703=A702,IF(F703&lt;0,-F703,0),"")</f>
        <v>6.6899999999996</v>
      </c>
    </row>
    <row r="704" customFormat="false" ht="15" hidden="false" customHeight="false" outlineLevel="0" collapsed="false">
      <c r="A704" s="14" t="s">
        <v>94</v>
      </c>
      <c r="B704" s="15" t="n">
        <v>46128</v>
      </c>
      <c r="C704" s="14" t="n">
        <v>2053.03</v>
      </c>
      <c r="D704" s="14" t="n">
        <v>2109376</v>
      </c>
      <c r="E704" s="16" t="n">
        <f aca="false">COUNTIFS($A$2:$A$1561,A704,$B$2:$B$1561,"&gt;"&amp;B704)+1</f>
        <v>78</v>
      </c>
      <c r="F704" s="16" t="n">
        <f aca="false">IF(A704=A703,C704-C703,"")</f>
        <v>0.480000000000018</v>
      </c>
      <c r="G704" s="16" t="n">
        <f aca="false">IF(A704=A703,IF(F704&gt;0,F704,0),"")</f>
        <v>0.480000000000018</v>
      </c>
      <c r="H704" s="16" t="n">
        <f aca="false">IF(A704=A703,IF(F704&lt;0,-F704,0),"")</f>
        <v>0</v>
      </c>
    </row>
    <row r="705" customFormat="false" ht="15" hidden="false" customHeight="false" outlineLevel="0" collapsed="false">
      <c r="A705" s="14" t="s">
        <v>94</v>
      </c>
      <c r="B705" s="15" t="n">
        <v>46129</v>
      </c>
      <c r="C705" s="14" t="n">
        <v>2060.98</v>
      </c>
      <c r="D705" s="14" t="n">
        <v>1094867</v>
      </c>
      <c r="E705" s="16" t="n">
        <f aca="false">COUNTIFS($A$2:$A$1561,A705,$B$2:$B$1561,"&gt;"&amp;B705)+1</f>
        <v>77</v>
      </c>
      <c r="F705" s="16" t="n">
        <f aca="false">IF(A705=A704,C705-C704,"")</f>
        <v>7.94999999999982</v>
      </c>
      <c r="G705" s="16" t="n">
        <f aca="false">IF(A705=A704,IF(F705&gt;0,F705,0),"")</f>
        <v>7.94999999999982</v>
      </c>
      <c r="H705" s="16" t="n">
        <f aca="false">IF(A705=A704,IF(F705&lt;0,-F705,0),"")</f>
        <v>0</v>
      </c>
    </row>
    <row r="706" customFormat="false" ht="15" hidden="false" customHeight="false" outlineLevel="0" collapsed="false">
      <c r="A706" s="14" t="s">
        <v>94</v>
      </c>
      <c r="B706" s="15" t="n">
        <v>46132</v>
      </c>
      <c r="C706" s="14" t="n">
        <v>2046.25</v>
      </c>
      <c r="D706" s="14" t="n">
        <v>619826</v>
      </c>
      <c r="E706" s="16" t="n">
        <f aca="false">COUNTIFS($A$2:$A$1561,A706,$B$2:$B$1561,"&gt;"&amp;B706)+1</f>
        <v>76</v>
      </c>
      <c r="F706" s="16" t="n">
        <f aca="false">IF(A706=A705,C706-C705,"")</f>
        <v>-14.73</v>
      </c>
      <c r="G706" s="16" t="n">
        <f aca="false">IF(A706=A705,IF(F706&gt;0,F706,0),"")</f>
        <v>0</v>
      </c>
      <c r="H706" s="16" t="n">
        <f aca="false">IF(A706=A705,IF(F706&lt;0,-F706,0),"")</f>
        <v>14.73</v>
      </c>
    </row>
    <row r="707" customFormat="false" ht="15" hidden="false" customHeight="false" outlineLevel="0" collapsed="false">
      <c r="A707" s="14" t="s">
        <v>94</v>
      </c>
      <c r="B707" s="15" t="n">
        <v>46133</v>
      </c>
      <c r="C707" s="14" t="n">
        <v>2045.13</v>
      </c>
      <c r="D707" s="14" t="n">
        <v>1468502</v>
      </c>
      <c r="E707" s="16" t="n">
        <f aca="false">COUNTIFS($A$2:$A$1561,A707,$B$2:$B$1561,"&gt;"&amp;B707)+1</f>
        <v>75</v>
      </c>
      <c r="F707" s="16" t="n">
        <f aca="false">IF(A707=A706,C707-C706,"")</f>
        <v>-1.11999999999989</v>
      </c>
      <c r="G707" s="16" t="n">
        <f aca="false">IF(A707=A706,IF(F707&gt;0,F707,0),"")</f>
        <v>0</v>
      </c>
      <c r="H707" s="16" t="n">
        <f aca="false">IF(A707=A706,IF(F707&lt;0,-F707,0),"")</f>
        <v>1.11999999999989</v>
      </c>
    </row>
    <row r="708" customFormat="false" ht="15" hidden="false" customHeight="false" outlineLevel="0" collapsed="false">
      <c r="A708" s="14" t="s">
        <v>94</v>
      </c>
      <c r="B708" s="15" t="n">
        <v>46134</v>
      </c>
      <c r="C708" s="14" t="n">
        <v>2035.34</v>
      </c>
      <c r="D708" s="14" t="n">
        <v>1713320</v>
      </c>
      <c r="E708" s="16" t="n">
        <f aca="false">COUNTIFS($A$2:$A$1561,A708,$B$2:$B$1561,"&gt;"&amp;B708)+1</f>
        <v>74</v>
      </c>
      <c r="F708" s="16" t="n">
        <f aca="false">IF(A708=A707,C708-C707,"")</f>
        <v>-9.79000000000019</v>
      </c>
      <c r="G708" s="16" t="n">
        <f aca="false">IF(A708=A707,IF(F708&gt;0,F708,0),"")</f>
        <v>0</v>
      </c>
      <c r="H708" s="16" t="n">
        <f aca="false">IF(A708=A707,IF(F708&lt;0,-F708,0),"")</f>
        <v>9.79000000000019</v>
      </c>
    </row>
    <row r="709" customFormat="false" ht="15" hidden="false" customHeight="false" outlineLevel="0" collapsed="false">
      <c r="A709" s="14" t="s">
        <v>94</v>
      </c>
      <c r="B709" s="15" t="n">
        <v>46135</v>
      </c>
      <c r="C709" s="14" t="n">
        <v>2029.57</v>
      </c>
      <c r="D709" s="14" t="n">
        <v>1936725</v>
      </c>
      <c r="E709" s="16" t="n">
        <f aca="false">COUNTIFS($A$2:$A$1561,A709,$B$2:$B$1561,"&gt;"&amp;B709)+1</f>
        <v>73</v>
      </c>
      <c r="F709" s="16" t="n">
        <f aca="false">IF(A709=A708,C709-C708,"")</f>
        <v>-5.76999999999998</v>
      </c>
      <c r="G709" s="16" t="n">
        <f aca="false">IF(A709=A708,IF(F709&gt;0,F709,0),"")</f>
        <v>0</v>
      </c>
      <c r="H709" s="16" t="n">
        <f aca="false">IF(A709=A708,IF(F709&lt;0,-F709,0),"")</f>
        <v>5.76999999999998</v>
      </c>
    </row>
    <row r="710" customFormat="false" ht="15" hidden="false" customHeight="false" outlineLevel="0" collapsed="false">
      <c r="A710" s="14" t="s">
        <v>94</v>
      </c>
      <c r="B710" s="15" t="n">
        <v>46136</v>
      </c>
      <c r="C710" s="14" t="n">
        <v>2039.22</v>
      </c>
      <c r="D710" s="14" t="n">
        <v>2221554</v>
      </c>
      <c r="E710" s="16" t="n">
        <f aca="false">COUNTIFS($A$2:$A$1561,A710,$B$2:$B$1561,"&gt;"&amp;B710)+1</f>
        <v>72</v>
      </c>
      <c r="F710" s="16" t="n">
        <f aca="false">IF(A710=A709,C710-C709,"")</f>
        <v>9.65000000000009</v>
      </c>
      <c r="G710" s="16" t="n">
        <f aca="false">IF(A710=A709,IF(F710&gt;0,F710,0),"")</f>
        <v>9.65000000000009</v>
      </c>
      <c r="H710" s="16" t="n">
        <f aca="false">IF(A710=A709,IF(F710&lt;0,-F710,0),"")</f>
        <v>0</v>
      </c>
    </row>
    <row r="711" customFormat="false" ht="15" hidden="false" customHeight="false" outlineLevel="0" collapsed="false">
      <c r="A711" s="14" t="s">
        <v>94</v>
      </c>
      <c r="B711" s="15" t="n">
        <v>46139</v>
      </c>
      <c r="C711" s="14" t="n">
        <v>2057.77</v>
      </c>
      <c r="D711" s="14" t="n">
        <v>761532</v>
      </c>
      <c r="E711" s="16" t="n">
        <f aca="false">COUNTIFS($A$2:$A$1561,A711,$B$2:$B$1561,"&gt;"&amp;B711)+1</f>
        <v>71</v>
      </c>
      <c r="F711" s="16" t="n">
        <f aca="false">IF(A711=A710,C711-C710,"")</f>
        <v>18.55</v>
      </c>
      <c r="G711" s="16" t="n">
        <f aca="false">IF(A711=A710,IF(F711&gt;0,F711,0),"")</f>
        <v>18.55</v>
      </c>
      <c r="H711" s="16" t="n">
        <f aca="false">IF(A711=A710,IF(F711&lt;0,-F711,0),"")</f>
        <v>0</v>
      </c>
    </row>
    <row r="712" customFormat="false" ht="15" hidden="false" customHeight="false" outlineLevel="0" collapsed="false">
      <c r="A712" s="14" t="s">
        <v>94</v>
      </c>
      <c r="B712" s="15" t="n">
        <v>46140</v>
      </c>
      <c r="C712" s="14" t="n">
        <v>2054.09</v>
      </c>
      <c r="D712" s="14" t="n">
        <v>1623302</v>
      </c>
      <c r="E712" s="16" t="n">
        <f aca="false">COUNTIFS($A$2:$A$1561,A712,$B$2:$B$1561,"&gt;"&amp;B712)+1</f>
        <v>70</v>
      </c>
      <c r="F712" s="16" t="n">
        <f aca="false">IF(A712=A711,C712-C711,"")</f>
        <v>-3.67999999999984</v>
      </c>
      <c r="G712" s="16" t="n">
        <f aca="false">IF(A712=A711,IF(F712&gt;0,F712,0),"")</f>
        <v>0</v>
      </c>
      <c r="H712" s="16" t="n">
        <f aca="false">IF(A712=A711,IF(F712&lt;0,-F712,0),"")</f>
        <v>3.67999999999984</v>
      </c>
    </row>
    <row r="713" customFormat="false" ht="15" hidden="false" customHeight="false" outlineLevel="0" collapsed="false">
      <c r="A713" s="14" t="s">
        <v>94</v>
      </c>
      <c r="B713" s="15" t="n">
        <v>46141</v>
      </c>
      <c r="C713" s="14" t="n">
        <v>2048.51</v>
      </c>
      <c r="D713" s="14" t="n">
        <v>1432945</v>
      </c>
      <c r="E713" s="16" t="n">
        <f aca="false">COUNTIFS($A$2:$A$1561,A713,$B$2:$B$1561,"&gt;"&amp;B713)+1</f>
        <v>69</v>
      </c>
      <c r="F713" s="16" t="n">
        <f aca="false">IF(A713=A712,C713-C712,"")</f>
        <v>-5.57999999999993</v>
      </c>
      <c r="G713" s="16" t="n">
        <f aca="false">IF(A713=A712,IF(F713&gt;0,F713,0),"")</f>
        <v>0</v>
      </c>
      <c r="H713" s="16" t="n">
        <f aca="false">IF(A713=A712,IF(F713&lt;0,-F713,0),"")</f>
        <v>5.57999999999993</v>
      </c>
    </row>
    <row r="714" customFormat="false" ht="15" hidden="false" customHeight="false" outlineLevel="0" collapsed="false">
      <c r="A714" s="14" t="s">
        <v>94</v>
      </c>
      <c r="B714" s="15" t="n">
        <v>46142</v>
      </c>
      <c r="C714" s="14" t="n">
        <v>2041.04</v>
      </c>
      <c r="D714" s="14" t="n">
        <v>995837</v>
      </c>
      <c r="E714" s="16" t="n">
        <f aca="false">COUNTIFS($A$2:$A$1561,A714,$B$2:$B$1561,"&gt;"&amp;B714)+1</f>
        <v>68</v>
      </c>
      <c r="F714" s="16" t="n">
        <f aca="false">IF(A714=A713,C714-C713,"")</f>
        <v>-7.47000000000026</v>
      </c>
      <c r="G714" s="16" t="n">
        <f aca="false">IF(A714=A713,IF(F714&gt;0,F714,0),"")</f>
        <v>0</v>
      </c>
      <c r="H714" s="16" t="n">
        <f aca="false">IF(A714=A713,IF(F714&lt;0,-F714,0),"")</f>
        <v>7.47000000000026</v>
      </c>
    </row>
    <row r="715" customFormat="false" ht="15" hidden="false" customHeight="false" outlineLevel="0" collapsed="false">
      <c r="A715" s="14" t="s">
        <v>94</v>
      </c>
      <c r="B715" s="15" t="n">
        <v>46143</v>
      </c>
      <c r="C715" s="14" t="n">
        <v>2027.33</v>
      </c>
      <c r="D715" s="14" t="n">
        <v>1080424</v>
      </c>
      <c r="E715" s="16" t="n">
        <f aca="false">COUNTIFS($A$2:$A$1561,A715,$B$2:$B$1561,"&gt;"&amp;B715)+1</f>
        <v>67</v>
      </c>
      <c r="F715" s="16" t="n">
        <f aca="false">IF(A715=A714,C715-C714,"")</f>
        <v>-13.71</v>
      </c>
      <c r="G715" s="16" t="n">
        <f aca="false">IF(A715=A714,IF(F715&gt;0,F715,0),"")</f>
        <v>0</v>
      </c>
      <c r="H715" s="16" t="n">
        <f aca="false">IF(A715=A714,IF(F715&lt;0,-F715,0),"")</f>
        <v>13.71</v>
      </c>
    </row>
    <row r="716" customFormat="false" ht="15" hidden="false" customHeight="false" outlineLevel="0" collapsed="false">
      <c r="A716" s="14" t="s">
        <v>94</v>
      </c>
      <c r="B716" s="15" t="n">
        <v>46146</v>
      </c>
      <c r="C716" s="14" t="n">
        <v>2024.2</v>
      </c>
      <c r="D716" s="14" t="n">
        <v>1730754</v>
      </c>
      <c r="E716" s="16" t="n">
        <f aca="false">COUNTIFS($A$2:$A$1561,A716,$B$2:$B$1561,"&gt;"&amp;B716)+1</f>
        <v>66</v>
      </c>
      <c r="F716" s="16" t="n">
        <f aca="false">IF(A716=A715,C716-C715,"")</f>
        <v>-3.12999999999988</v>
      </c>
      <c r="G716" s="16" t="n">
        <f aca="false">IF(A716=A715,IF(F716&gt;0,F716,0),"")</f>
        <v>0</v>
      </c>
      <c r="H716" s="16" t="n">
        <f aca="false">IF(A716=A715,IF(F716&lt;0,-F716,0),"")</f>
        <v>3.12999999999988</v>
      </c>
    </row>
    <row r="717" customFormat="false" ht="15" hidden="false" customHeight="false" outlineLevel="0" collapsed="false">
      <c r="A717" s="14" t="s">
        <v>94</v>
      </c>
      <c r="B717" s="15" t="n">
        <v>46147</v>
      </c>
      <c r="C717" s="14" t="n">
        <v>2016.12</v>
      </c>
      <c r="D717" s="14" t="n">
        <v>2230615</v>
      </c>
      <c r="E717" s="16" t="n">
        <f aca="false">COUNTIFS($A$2:$A$1561,A717,$B$2:$B$1561,"&gt;"&amp;B717)+1</f>
        <v>65</v>
      </c>
      <c r="F717" s="16" t="n">
        <f aca="false">IF(A717=A716,C717-C716,"")</f>
        <v>-8.08000000000016</v>
      </c>
      <c r="G717" s="16" t="n">
        <f aca="false">IF(A717=A716,IF(F717&gt;0,F717,0),"")</f>
        <v>0</v>
      </c>
      <c r="H717" s="16" t="n">
        <f aca="false">IF(A717=A716,IF(F717&lt;0,-F717,0),"")</f>
        <v>8.08000000000016</v>
      </c>
    </row>
    <row r="718" customFormat="false" ht="15" hidden="false" customHeight="false" outlineLevel="0" collapsed="false">
      <c r="A718" s="14" t="s">
        <v>94</v>
      </c>
      <c r="B718" s="15" t="n">
        <v>46148</v>
      </c>
      <c r="C718" s="14" t="n">
        <v>2004.86</v>
      </c>
      <c r="D718" s="14" t="n">
        <v>1154871</v>
      </c>
      <c r="E718" s="16" t="n">
        <f aca="false">COUNTIFS($A$2:$A$1561,A718,$B$2:$B$1561,"&gt;"&amp;B718)+1</f>
        <v>64</v>
      </c>
      <c r="F718" s="16" t="n">
        <f aca="false">IF(A718=A717,C718-C717,"")</f>
        <v>-11.26</v>
      </c>
      <c r="G718" s="16" t="n">
        <f aca="false">IF(A718=A717,IF(F718&gt;0,F718,0),"")</f>
        <v>0</v>
      </c>
      <c r="H718" s="16" t="n">
        <f aca="false">IF(A718=A717,IF(F718&lt;0,-F718,0),"")</f>
        <v>11.26</v>
      </c>
    </row>
    <row r="719" customFormat="false" ht="15" hidden="false" customHeight="false" outlineLevel="0" collapsed="false">
      <c r="A719" s="14" t="s">
        <v>94</v>
      </c>
      <c r="B719" s="15" t="n">
        <v>46149</v>
      </c>
      <c r="C719" s="14" t="n">
        <v>2008.74</v>
      </c>
      <c r="D719" s="14" t="n">
        <v>1125429</v>
      </c>
      <c r="E719" s="16" t="n">
        <f aca="false">COUNTIFS($A$2:$A$1561,A719,$B$2:$B$1561,"&gt;"&amp;B719)+1</f>
        <v>63</v>
      </c>
      <c r="F719" s="16" t="n">
        <f aca="false">IF(A719=A718,C719-C718,"")</f>
        <v>3.88000000000011</v>
      </c>
      <c r="G719" s="16" t="n">
        <f aca="false">IF(A719=A718,IF(F719&gt;0,F719,0),"")</f>
        <v>3.88000000000011</v>
      </c>
      <c r="H719" s="16" t="n">
        <f aca="false">IF(A719=A718,IF(F719&lt;0,-F719,0),"")</f>
        <v>0</v>
      </c>
    </row>
    <row r="720" customFormat="false" ht="15" hidden="false" customHeight="false" outlineLevel="0" collapsed="false">
      <c r="A720" s="14" t="s">
        <v>94</v>
      </c>
      <c r="B720" s="15" t="n">
        <v>46150</v>
      </c>
      <c r="C720" s="14" t="n">
        <v>2019.34</v>
      </c>
      <c r="D720" s="14" t="n">
        <v>1496531</v>
      </c>
      <c r="E720" s="16" t="n">
        <f aca="false">COUNTIFS($A$2:$A$1561,A720,$B$2:$B$1561,"&gt;"&amp;B720)+1</f>
        <v>62</v>
      </c>
      <c r="F720" s="16" t="n">
        <f aca="false">IF(A720=A719,C720-C719,"")</f>
        <v>10.5999999999999</v>
      </c>
      <c r="G720" s="16" t="n">
        <f aca="false">IF(A720=A719,IF(F720&gt;0,F720,0),"")</f>
        <v>10.5999999999999</v>
      </c>
      <c r="H720" s="16" t="n">
        <f aca="false">IF(A720=A719,IF(F720&lt;0,-F720,0),"")</f>
        <v>0</v>
      </c>
    </row>
    <row r="721" customFormat="false" ht="15" hidden="false" customHeight="false" outlineLevel="0" collapsed="false">
      <c r="A721" s="14" t="s">
        <v>94</v>
      </c>
      <c r="B721" s="15" t="n">
        <v>46153</v>
      </c>
      <c r="C721" s="14" t="n">
        <v>2020.97</v>
      </c>
      <c r="D721" s="14" t="n">
        <v>1497519</v>
      </c>
      <c r="E721" s="16" t="n">
        <f aca="false">COUNTIFS($A$2:$A$1561,A721,$B$2:$B$1561,"&gt;"&amp;B721)+1</f>
        <v>61</v>
      </c>
      <c r="F721" s="16" t="n">
        <f aca="false">IF(A721=A720,C721-C720,"")</f>
        <v>1.63000000000011</v>
      </c>
      <c r="G721" s="16" t="n">
        <f aca="false">IF(A721=A720,IF(F721&gt;0,F721,0),"")</f>
        <v>1.63000000000011</v>
      </c>
      <c r="H721" s="16" t="n">
        <f aca="false">IF(A721=A720,IF(F721&lt;0,-F721,0),"")</f>
        <v>0</v>
      </c>
    </row>
    <row r="722" customFormat="false" ht="15" hidden="false" customHeight="false" outlineLevel="0" collapsed="false">
      <c r="A722" s="14" t="s">
        <v>94</v>
      </c>
      <c r="B722" s="15" t="n">
        <v>46154</v>
      </c>
      <c r="C722" s="14" t="n">
        <v>2015.09</v>
      </c>
      <c r="D722" s="14" t="n">
        <v>546352</v>
      </c>
      <c r="E722" s="16" t="n">
        <f aca="false">COUNTIFS($A$2:$A$1561,A722,$B$2:$B$1561,"&gt;"&amp;B722)+1</f>
        <v>60</v>
      </c>
      <c r="F722" s="16" t="n">
        <f aca="false">IF(A722=A721,C722-C721,"")</f>
        <v>-5.88000000000011</v>
      </c>
      <c r="G722" s="16" t="n">
        <f aca="false">IF(A722=A721,IF(F722&gt;0,F722,0),"")</f>
        <v>0</v>
      </c>
      <c r="H722" s="16" t="n">
        <f aca="false">IF(A722=A721,IF(F722&lt;0,-F722,0),"")</f>
        <v>5.88000000000011</v>
      </c>
    </row>
    <row r="723" customFormat="false" ht="15" hidden="false" customHeight="false" outlineLevel="0" collapsed="false">
      <c r="A723" s="14" t="s">
        <v>94</v>
      </c>
      <c r="B723" s="15" t="n">
        <v>46155</v>
      </c>
      <c r="C723" s="14" t="n">
        <v>2032.33</v>
      </c>
      <c r="D723" s="14" t="n">
        <v>1510888</v>
      </c>
      <c r="E723" s="16" t="n">
        <f aca="false">COUNTIFS($A$2:$A$1561,A723,$B$2:$B$1561,"&gt;"&amp;B723)+1</f>
        <v>59</v>
      </c>
      <c r="F723" s="16" t="n">
        <f aca="false">IF(A723=A722,C723-C722,"")</f>
        <v>17.24</v>
      </c>
      <c r="G723" s="16" t="n">
        <f aca="false">IF(A723=A722,IF(F723&gt;0,F723,0),"")</f>
        <v>17.24</v>
      </c>
      <c r="H723" s="16" t="n">
        <f aca="false">IF(A723=A722,IF(F723&lt;0,-F723,0),"")</f>
        <v>0</v>
      </c>
    </row>
    <row r="724" customFormat="false" ht="15" hidden="false" customHeight="false" outlineLevel="0" collapsed="false">
      <c r="A724" s="14" t="s">
        <v>94</v>
      </c>
      <c r="B724" s="15" t="n">
        <v>46156</v>
      </c>
      <c r="C724" s="14" t="n">
        <v>2050.5</v>
      </c>
      <c r="D724" s="14" t="n">
        <v>930288</v>
      </c>
      <c r="E724" s="16" t="n">
        <f aca="false">COUNTIFS($A$2:$A$1561,A724,$B$2:$B$1561,"&gt;"&amp;B724)+1</f>
        <v>58</v>
      </c>
      <c r="F724" s="16" t="n">
        <f aca="false">IF(A724=A723,C724-C723,"")</f>
        <v>18.1700000000001</v>
      </c>
      <c r="G724" s="16" t="n">
        <f aca="false">IF(A724=A723,IF(F724&gt;0,F724,0),"")</f>
        <v>18.1700000000001</v>
      </c>
      <c r="H724" s="16" t="n">
        <f aca="false">IF(A724=A723,IF(F724&lt;0,-F724,0),"")</f>
        <v>0</v>
      </c>
    </row>
    <row r="725" customFormat="false" ht="15" hidden="false" customHeight="false" outlineLevel="0" collapsed="false">
      <c r="A725" s="14" t="s">
        <v>94</v>
      </c>
      <c r="B725" s="15" t="n">
        <v>46157</v>
      </c>
      <c r="C725" s="14" t="n">
        <v>2046.18</v>
      </c>
      <c r="D725" s="14" t="n">
        <v>601080</v>
      </c>
      <c r="E725" s="16" t="n">
        <f aca="false">COUNTIFS($A$2:$A$1561,A725,$B$2:$B$1561,"&gt;"&amp;B725)+1</f>
        <v>57</v>
      </c>
      <c r="F725" s="16" t="n">
        <f aca="false">IF(A725=A724,C725-C724,"")</f>
        <v>-4.31999999999994</v>
      </c>
      <c r="G725" s="16" t="n">
        <f aca="false">IF(A725=A724,IF(F725&gt;0,F725,0),"")</f>
        <v>0</v>
      </c>
      <c r="H725" s="16" t="n">
        <f aca="false">IF(A725=A724,IF(F725&lt;0,-F725,0),"")</f>
        <v>4.31999999999994</v>
      </c>
    </row>
    <row r="726" customFormat="false" ht="15" hidden="false" customHeight="false" outlineLevel="0" collapsed="false">
      <c r="A726" s="14" t="s">
        <v>94</v>
      </c>
      <c r="B726" s="15" t="n">
        <v>46160</v>
      </c>
      <c r="C726" s="14" t="n">
        <v>2047.1</v>
      </c>
      <c r="D726" s="14" t="n">
        <v>2264678</v>
      </c>
      <c r="E726" s="16" t="n">
        <f aca="false">COUNTIFS($A$2:$A$1561,A726,$B$2:$B$1561,"&gt;"&amp;B726)+1</f>
        <v>56</v>
      </c>
      <c r="F726" s="16" t="n">
        <f aca="false">IF(A726=A725,C726-C725,"")</f>
        <v>0.919999999999845</v>
      </c>
      <c r="G726" s="16" t="n">
        <f aca="false">IF(A726=A725,IF(F726&gt;0,F726,0),"")</f>
        <v>0.919999999999845</v>
      </c>
      <c r="H726" s="16" t="n">
        <f aca="false">IF(A726=A725,IF(F726&lt;0,-F726,0),"")</f>
        <v>0</v>
      </c>
    </row>
    <row r="727" customFormat="false" ht="15" hidden="false" customHeight="false" outlineLevel="0" collapsed="false">
      <c r="A727" s="14" t="s">
        <v>94</v>
      </c>
      <c r="B727" s="15" t="n">
        <v>46161</v>
      </c>
      <c r="C727" s="14" t="n">
        <v>2053.89</v>
      </c>
      <c r="D727" s="14" t="n">
        <v>1441173</v>
      </c>
      <c r="E727" s="16" t="n">
        <f aca="false">COUNTIFS($A$2:$A$1561,A727,$B$2:$B$1561,"&gt;"&amp;B727)+1</f>
        <v>55</v>
      </c>
      <c r="F727" s="16" t="n">
        <f aca="false">IF(A727=A726,C727-C726,"")</f>
        <v>6.78999999999996</v>
      </c>
      <c r="G727" s="16" t="n">
        <f aca="false">IF(A727=A726,IF(F727&gt;0,F727,0),"")</f>
        <v>6.78999999999996</v>
      </c>
      <c r="H727" s="16" t="n">
        <f aca="false">IF(A727=A726,IF(F727&lt;0,-F727,0),"")</f>
        <v>0</v>
      </c>
    </row>
    <row r="728" customFormat="false" ht="15" hidden="false" customHeight="false" outlineLevel="0" collapsed="false">
      <c r="A728" s="14" t="s">
        <v>94</v>
      </c>
      <c r="B728" s="15" t="n">
        <v>46162</v>
      </c>
      <c r="C728" s="14" t="n">
        <v>2056.35</v>
      </c>
      <c r="D728" s="14" t="n">
        <v>2194344</v>
      </c>
      <c r="E728" s="16" t="n">
        <f aca="false">COUNTIFS($A$2:$A$1561,A728,$B$2:$B$1561,"&gt;"&amp;B728)+1</f>
        <v>54</v>
      </c>
      <c r="F728" s="16" t="n">
        <f aca="false">IF(A728=A727,C728-C727,"")</f>
        <v>2.46000000000004</v>
      </c>
      <c r="G728" s="16" t="n">
        <f aca="false">IF(A728=A727,IF(F728&gt;0,F728,0),"")</f>
        <v>2.46000000000004</v>
      </c>
      <c r="H728" s="16" t="n">
        <f aca="false">IF(A728=A727,IF(F728&lt;0,-F728,0),"")</f>
        <v>0</v>
      </c>
    </row>
    <row r="729" customFormat="false" ht="15" hidden="false" customHeight="false" outlineLevel="0" collapsed="false">
      <c r="A729" s="14" t="s">
        <v>94</v>
      </c>
      <c r="B729" s="15" t="n">
        <v>46163</v>
      </c>
      <c r="C729" s="14" t="n">
        <v>2054.91</v>
      </c>
      <c r="D729" s="14" t="n">
        <v>2264911</v>
      </c>
      <c r="E729" s="16" t="n">
        <f aca="false">COUNTIFS($A$2:$A$1561,A729,$B$2:$B$1561,"&gt;"&amp;B729)+1</f>
        <v>53</v>
      </c>
      <c r="F729" s="16" t="n">
        <f aca="false">IF(A729=A728,C729-C728,"")</f>
        <v>-1.44000000000005</v>
      </c>
      <c r="G729" s="16" t="n">
        <f aca="false">IF(A729=A728,IF(F729&gt;0,F729,0),"")</f>
        <v>0</v>
      </c>
      <c r="H729" s="16" t="n">
        <f aca="false">IF(A729=A728,IF(F729&lt;0,-F729,0),"")</f>
        <v>1.44000000000005</v>
      </c>
    </row>
    <row r="730" customFormat="false" ht="15" hidden="false" customHeight="false" outlineLevel="0" collapsed="false">
      <c r="A730" s="14" t="s">
        <v>94</v>
      </c>
      <c r="B730" s="15" t="n">
        <v>46164</v>
      </c>
      <c r="C730" s="14" t="n">
        <v>2064.43</v>
      </c>
      <c r="D730" s="14" t="n">
        <v>2027713</v>
      </c>
      <c r="E730" s="16" t="n">
        <f aca="false">COUNTIFS($A$2:$A$1561,A730,$B$2:$B$1561,"&gt;"&amp;B730)+1</f>
        <v>52</v>
      </c>
      <c r="F730" s="16" t="n">
        <f aca="false">IF(A730=A729,C730-C729,"")</f>
        <v>9.51999999999998</v>
      </c>
      <c r="G730" s="16" t="n">
        <f aca="false">IF(A730=A729,IF(F730&gt;0,F730,0),"")</f>
        <v>9.51999999999998</v>
      </c>
      <c r="H730" s="16" t="n">
        <f aca="false">IF(A730=A729,IF(F730&lt;0,-F730,0),"")</f>
        <v>0</v>
      </c>
    </row>
    <row r="731" customFormat="false" ht="15" hidden="false" customHeight="false" outlineLevel="0" collapsed="false">
      <c r="A731" s="14" t="s">
        <v>94</v>
      </c>
      <c r="B731" s="15" t="n">
        <v>46167</v>
      </c>
      <c r="C731" s="14" t="n">
        <v>2060.56</v>
      </c>
      <c r="D731" s="14" t="n">
        <v>1301163</v>
      </c>
      <c r="E731" s="16" t="n">
        <f aca="false">COUNTIFS($A$2:$A$1561,A731,$B$2:$B$1561,"&gt;"&amp;B731)+1</f>
        <v>51</v>
      </c>
      <c r="F731" s="16" t="n">
        <f aca="false">IF(A731=A730,C731-C730,"")</f>
        <v>-3.86999999999989</v>
      </c>
      <c r="G731" s="16" t="n">
        <f aca="false">IF(A731=A730,IF(F731&gt;0,F731,0),"")</f>
        <v>0</v>
      </c>
      <c r="H731" s="16" t="n">
        <f aca="false">IF(A731=A730,IF(F731&lt;0,-F731,0),"")</f>
        <v>3.86999999999989</v>
      </c>
    </row>
    <row r="732" customFormat="false" ht="15" hidden="false" customHeight="false" outlineLevel="0" collapsed="false">
      <c r="A732" s="14" t="s">
        <v>94</v>
      </c>
      <c r="B732" s="15" t="n">
        <v>46168</v>
      </c>
      <c r="C732" s="14" t="n">
        <v>2064.28</v>
      </c>
      <c r="D732" s="14" t="n">
        <v>889310</v>
      </c>
      <c r="E732" s="16" t="n">
        <f aca="false">COUNTIFS($A$2:$A$1561,A732,$B$2:$B$1561,"&gt;"&amp;B732)+1</f>
        <v>50</v>
      </c>
      <c r="F732" s="16" t="n">
        <f aca="false">IF(A732=A731,C732-C731,"")</f>
        <v>3.72000000000025</v>
      </c>
      <c r="G732" s="16" t="n">
        <f aca="false">IF(A732=A731,IF(F732&gt;0,F732,0),"")</f>
        <v>3.72000000000025</v>
      </c>
      <c r="H732" s="16" t="n">
        <f aca="false">IF(A732=A731,IF(F732&lt;0,-F732,0),"")</f>
        <v>0</v>
      </c>
    </row>
    <row r="733" customFormat="false" ht="15" hidden="false" customHeight="false" outlineLevel="0" collapsed="false">
      <c r="A733" s="14" t="s">
        <v>94</v>
      </c>
      <c r="B733" s="15" t="n">
        <v>46169</v>
      </c>
      <c r="C733" s="14" t="n">
        <v>2067.38</v>
      </c>
      <c r="D733" s="14" t="n">
        <v>647063</v>
      </c>
      <c r="E733" s="16" t="n">
        <f aca="false">COUNTIFS($A$2:$A$1561,A733,$B$2:$B$1561,"&gt;"&amp;B733)+1</f>
        <v>49</v>
      </c>
      <c r="F733" s="16" t="n">
        <f aca="false">IF(A733=A732,C733-C732,"")</f>
        <v>3.09999999999991</v>
      </c>
      <c r="G733" s="16" t="n">
        <f aca="false">IF(A733=A732,IF(F733&gt;0,F733,0),"")</f>
        <v>3.09999999999991</v>
      </c>
      <c r="H733" s="16" t="n">
        <f aca="false">IF(A733=A732,IF(F733&lt;0,-F733,0),"")</f>
        <v>0</v>
      </c>
    </row>
    <row r="734" customFormat="false" ht="15" hidden="false" customHeight="false" outlineLevel="0" collapsed="false">
      <c r="A734" s="14" t="s">
        <v>94</v>
      </c>
      <c r="B734" s="15" t="n">
        <v>46170</v>
      </c>
      <c r="C734" s="14" t="n">
        <v>2068.65</v>
      </c>
      <c r="D734" s="14" t="n">
        <v>2028808</v>
      </c>
      <c r="E734" s="16" t="n">
        <f aca="false">COUNTIFS($A$2:$A$1561,A734,$B$2:$B$1561,"&gt;"&amp;B734)+1</f>
        <v>48</v>
      </c>
      <c r="F734" s="16" t="n">
        <f aca="false">IF(A734=A733,C734-C733,"")</f>
        <v>1.26999999999998</v>
      </c>
      <c r="G734" s="16" t="n">
        <f aca="false">IF(A734=A733,IF(F734&gt;0,F734,0),"")</f>
        <v>1.26999999999998</v>
      </c>
      <c r="H734" s="16" t="n">
        <f aca="false">IF(A734=A733,IF(F734&lt;0,-F734,0),"")</f>
        <v>0</v>
      </c>
    </row>
    <row r="735" customFormat="false" ht="15" hidden="false" customHeight="false" outlineLevel="0" collapsed="false">
      <c r="A735" s="14" t="s">
        <v>94</v>
      </c>
      <c r="B735" s="15" t="n">
        <v>46171</v>
      </c>
      <c r="C735" s="14" t="n">
        <v>2061.56</v>
      </c>
      <c r="D735" s="14" t="n">
        <v>2478181</v>
      </c>
      <c r="E735" s="16" t="n">
        <f aca="false">COUNTIFS($A$2:$A$1561,A735,$B$2:$B$1561,"&gt;"&amp;B735)+1</f>
        <v>47</v>
      </c>
      <c r="F735" s="16" t="n">
        <f aca="false">IF(A735=A734,C735-C734,"")</f>
        <v>-7.09000000000015</v>
      </c>
      <c r="G735" s="16" t="n">
        <f aca="false">IF(A735=A734,IF(F735&gt;0,F735,0),"")</f>
        <v>0</v>
      </c>
      <c r="H735" s="16" t="n">
        <f aca="false">IF(A735=A734,IF(F735&lt;0,-F735,0),"")</f>
        <v>7.09000000000015</v>
      </c>
    </row>
    <row r="736" customFormat="false" ht="15" hidden="false" customHeight="false" outlineLevel="0" collapsed="false">
      <c r="A736" s="14" t="s">
        <v>94</v>
      </c>
      <c r="B736" s="15" t="n">
        <v>46174</v>
      </c>
      <c r="C736" s="14" t="n">
        <v>2069.37</v>
      </c>
      <c r="D736" s="14" t="n">
        <v>737622</v>
      </c>
      <c r="E736" s="16" t="n">
        <f aca="false">COUNTIFS($A$2:$A$1561,A736,$B$2:$B$1561,"&gt;"&amp;B736)+1</f>
        <v>46</v>
      </c>
      <c r="F736" s="16" t="n">
        <f aca="false">IF(A736=A735,C736-C735,"")</f>
        <v>7.80999999999995</v>
      </c>
      <c r="G736" s="16" t="n">
        <f aca="false">IF(A736=A735,IF(F736&gt;0,F736,0),"")</f>
        <v>7.80999999999995</v>
      </c>
      <c r="H736" s="16" t="n">
        <f aca="false">IF(A736=A735,IF(F736&lt;0,-F736,0),"")</f>
        <v>0</v>
      </c>
    </row>
    <row r="737" customFormat="false" ht="15" hidden="false" customHeight="false" outlineLevel="0" collapsed="false">
      <c r="A737" s="14" t="s">
        <v>94</v>
      </c>
      <c r="B737" s="15" t="n">
        <v>46175</v>
      </c>
      <c r="C737" s="14" t="n">
        <v>2088.19</v>
      </c>
      <c r="D737" s="14" t="n">
        <v>1287807</v>
      </c>
      <c r="E737" s="16" t="n">
        <f aca="false">COUNTIFS($A$2:$A$1561,A737,$B$2:$B$1561,"&gt;"&amp;B737)+1</f>
        <v>45</v>
      </c>
      <c r="F737" s="16" t="n">
        <f aca="false">IF(A737=A736,C737-C736,"")</f>
        <v>18.8200000000002</v>
      </c>
      <c r="G737" s="16" t="n">
        <f aca="false">IF(A737=A736,IF(F737&gt;0,F737,0),"")</f>
        <v>18.8200000000002</v>
      </c>
      <c r="H737" s="16" t="n">
        <f aca="false">IF(A737=A736,IF(F737&lt;0,-F737,0),"")</f>
        <v>0</v>
      </c>
    </row>
    <row r="738" customFormat="false" ht="15" hidden="false" customHeight="false" outlineLevel="0" collapsed="false">
      <c r="A738" s="14" t="s">
        <v>94</v>
      </c>
      <c r="B738" s="15" t="n">
        <v>46176</v>
      </c>
      <c r="C738" s="14" t="n">
        <v>2100.4</v>
      </c>
      <c r="D738" s="14" t="n">
        <v>1178170</v>
      </c>
      <c r="E738" s="16" t="n">
        <f aca="false">COUNTIFS($A$2:$A$1561,A738,$B$2:$B$1561,"&gt;"&amp;B738)+1</f>
        <v>44</v>
      </c>
      <c r="F738" s="16" t="n">
        <f aca="false">IF(A738=A737,C738-C737,"")</f>
        <v>12.21</v>
      </c>
      <c r="G738" s="16" t="n">
        <f aca="false">IF(A738=A737,IF(F738&gt;0,F738,0),"")</f>
        <v>12.21</v>
      </c>
      <c r="H738" s="16" t="n">
        <f aca="false">IF(A738=A737,IF(F738&lt;0,-F738,0),"")</f>
        <v>0</v>
      </c>
    </row>
    <row r="739" customFormat="false" ht="15" hidden="false" customHeight="false" outlineLevel="0" collapsed="false">
      <c r="A739" s="14" t="s">
        <v>94</v>
      </c>
      <c r="B739" s="15" t="n">
        <v>46177</v>
      </c>
      <c r="C739" s="14" t="n">
        <v>2118.13</v>
      </c>
      <c r="D739" s="14" t="n">
        <v>2009930</v>
      </c>
      <c r="E739" s="16" t="n">
        <f aca="false">COUNTIFS($A$2:$A$1561,A739,$B$2:$B$1561,"&gt;"&amp;B739)+1</f>
        <v>43</v>
      </c>
      <c r="F739" s="16" t="n">
        <f aca="false">IF(A739=A738,C739-C738,"")</f>
        <v>17.73</v>
      </c>
      <c r="G739" s="16" t="n">
        <f aca="false">IF(A739=A738,IF(F739&gt;0,F739,0),"")</f>
        <v>17.73</v>
      </c>
      <c r="H739" s="16" t="n">
        <f aca="false">IF(A739=A738,IF(F739&lt;0,-F739,0),"")</f>
        <v>0</v>
      </c>
    </row>
    <row r="740" customFormat="false" ht="15" hidden="false" customHeight="false" outlineLevel="0" collapsed="false">
      <c r="A740" s="14" t="s">
        <v>94</v>
      </c>
      <c r="B740" s="15" t="n">
        <v>46178</v>
      </c>
      <c r="C740" s="14" t="n">
        <v>2107.8</v>
      </c>
      <c r="D740" s="14" t="n">
        <v>1518245</v>
      </c>
      <c r="E740" s="16" t="n">
        <f aca="false">COUNTIFS($A$2:$A$1561,A740,$B$2:$B$1561,"&gt;"&amp;B740)+1</f>
        <v>42</v>
      </c>
      <c r="F740" s="16" t="n">
        <f aca="false">IF(A740=A739,C740-C739,"")</f>
        <v>-10.3299999999999</v>
      </c>
      <c r="G740" s="16" t="n">
        <f aca="false">IF(A740=A739,IF(F740&gt;0,F740,0),"")</f>
        <v>0</v>
      </c>
      <c r="H740" s="16" t="n">
        <f aca="false">IF(A740=A739,IF(F740&lt;0,-F740,0),"")</f>
        <v>10.3299999999999</v>
      </c>
    </row>
    <row r="741" customFormat="false" ht="15" hidden="false" customHeight="false" outlineLevel="0" collapsed="false">
      <c r="A741" s="14" t="s">
        <v>94</v>
      </c>
      <c r="B741" s="15" t="n">
        <v>46181</v>
      </c>
      <c r="C741" s="14" t="n">
        <v>2108.94</v>
      </c>
      <c r="D741" s="14" t="n">
        <v>590606</v>
      </c>
      <c r="E741" s="16" t="n">
        <f aca="false">COUNTIFS($A$2:$A$1561,A741,$B$2:$B$1561,"&gt;"&amp;B741)+1</f>
        <v>41</v>
      </c>
      <c r="F741" s="16" t="n">
        <f aca="false">IF(A741=A740,C741-C740,"")</f>
        <v>1.13999999999987</v>
      </c>
      <c r="G741" s="16" t="n">
        <f aca="false">IF(A741=A740,IF(F741&gt;0,F741,0),"")</f>
        <v>1.13999999999987</v>
      </c>
      <c r="H741" s="16" t="n">
        <f aca="false">IF(A741=A740,IF(F741&lt;0,-F741,0),"")</f>
        <v>0</v>
      </c>
    </row>
    <row r="742" customFormat="false" ht="15" hidden="false" customHeight="false" outlineLevel="0" collapsed="false">
      <c r="A742" s="14" t="s">
        <v>94</v>
      </c>
      <c r="B742" s="15" t="n">
        <v>46182</v>
      </c>
      <c r="C742" s="14" t="n">
        <v>2096.3</v>
      </c>
      <c r="D742" s="14" t="n">
        <v>1166081</v>
      </c>
      <c r="E742" s="16" t="n">
        <f aca="false">COUNTIFS($A$2:$A$1561,A742,$B$2:$B$1561,"&gt;"&amp;B742)+1</f>
        <v>40</v>
      </c>
      <c r="F742" s="16" t="n">
        <f aca="false">IF(A742=A741,C742-C741,"")</f>
        <v>-12.6399999999999</v>
      </c>
      <c r="G742" s="16" t="n">
        <f aca="false">IF(A742=A741,IF(F742&gt;0,F742,0),"")</f>
        <v>0</v>
      </c>
      <c r="H742" s="16" t="n">
        <f aca="false">IF(A742=A741,IF(F742&lt;0,-F742,0),"")</f>
        <v>12.6399999999999</v>
      </c>
    </row>
    <row r="743" customFormat="false" ht="15" hidden="false" customHeight="false" outlineLevel="0" collapsed="false">
      <c r="A743" s="14" t="s">
        <v>94</v>
      </c>
      <c r="B743" s="15" t="n">
        <v>46183</v>
      </c>
      <c r="C743" s="14" t="n">
        <v>2096.44</v>
      </c>
      <c r="D743" s="14" t="n">
        <v>1413977</v>
      </c>
      <c r="E743" s="16" t="n">
        <f aca="false">COUNTIFS($A$2:$A$1561,A743,$B$2:$B$1561,"&gt;"&amp;B743)+1</f>
        <v>39</v>
      </c>
      <c r="F743" s="16" t="n">
        <f aca="false">IF(A743=A742,C743-C742,"")</f>
        <v>0.139999999999873</v>
      </c>
      <c r="G743" s="16" t="n">
        <f aca="false">IF(A743=A742,IF(F743&gt;0,F743,0),"")</f>
        <v>0.139999999999873</v>
      </c>
      <c r="H743" s="16" t="n">
        <f aca="false">IF(A743=A742,IF(F743&lt;0,-F743,0),"")</f>
        <v>0</v>
      </c>
    </row>
    <row r="744" customFormat="false" ht="15" hidden="false" customHeight="false" outlineLevel="0" collapsed="false">
      <c r="A744" s="14" t="s">
        <v>94</v>
      </c>
      <c r="B744" s="15" t="n">
        <v>46184</v>
      </c>
      <c r="C744" s="14" t="n">
        <v>2101.58</v>
      </c>
      <c r="D744" s="14" t="n">
        <v>1531011</v>
      </c>
      <c r="E744" s="16" t="n">
        <f aca="false">COUNTIFS($A$2:$A$1561,A744,$B$2:$B$1561,"&gt;"&amp;B744)+1</f>
        <v>38</v>
      </c>
      <c r="F744" s="16" t="n">
        <f aca="false">IF(A744=A743,C744-C743,"")</f>
        <v>5.13999999999987</v>
      </c>
      <c r="G744" s="16" t="n">
        <f aca="false">IF(A744=A743,IF(F744&gt;0,F744,0),"")</f>
        <v>5.13999999999987</v>
      </c>
      <c r="H744" s="16" t="n">
        <f aca="false">IF(A744=A743,IF(F744&lt;0,-F744,0),"")</f>
        <v>0</v>
      </c>
    </row>
    <row r="745" customFormat="false" ht="15" hidden="false" customHeight="false" outlineLevel="0" collapsed="false">
      <c r="A745" s="14" t="s">
        <v>94</v>
      </c>
      <c r="B745" s="15" t="n">
        <v>46185</v>
      </c>
      <c r="C745" s="14" t="n">
        <v>2096.21</v>
      </c>
      <c r="D745" s="14" t="n">
        <v>1726136</v>
      </c>
      <c r="E745" s="16" t="n">
        <f aca="false">COUNTIFS($A$2:$A$1561,A745,$B$2:$B$1561,"&gt;"&amp;B745)+1</f>
        <v>37</v>
      </c>
      <c r="F745" s="16" t="n">
        <f aca="false">IF(A745=A744,C745-C744,"")</f>
        <v>-5.36999999999989</v>
      </c>
      <c r="G745" s="16" t="n">
        <f aca="false">IF(A745=A744,IF(F745&gt;0,F745,0),"")</f>
        <v>0</v>
      </c>
      <c r="H745" s="16" t="n">
        <f aca="false">IF(A745=A744,IF(F745&lt;0,-F745,0),"")</f>
        <v>5.36999999999989</v>
      </c>
    </row>
    <row r="746" customFormat="false" ht="15" hidden="false" customHeight="false" outlineLevel="0" collapsed="false">
      <c r="A746" s="14" t="s">
        <v>94</v>
      </c>
      <c r="B746" s="15" t="n">
        <v>46188</v>
      </c>
      <c r="C746" s="14" t="n">
        <v>2084.61</v>
      </c>
      <c r="D746" s="14" t="n">
        <v>2481231</v>
      </c>
      <c r="E746" s="16" t="n">
        <f aca="false">COUNTIFS($A$2:$A$1561,A746,$B$2:$B$1561,"&gt;"&amp;B746)+1</f>
        <v>36</v>
      </c>
      <c r="F746" s="16" t="n">
        <f aca="false">IF(A746=A745,C746-C745,"")</f>
        <v>-11.5999999999999</v>
      </c>
      <c r="G746" s="16" t="n">
        <f aca="false">IF(A746=A745,IF(F746&gt;0,F746,0),"")</f>
        <v>0</v>
      </c>
      <c r="H746" s="16" t="n">
        <f aca="false">IF(A746=A745,IF(F746&lt;0,-F746,0),"")</f>
        <v>11.5999999999999</v>
      </c>
    </row>
    <row r="747" customFormat="false" ht="15" hidden="false" customHeight="false" outlineLevel="0" collapsed="false">
      <c r="A747" s="14" t="s">
        <v>94</v>
      </c>
      <c r="B747" s="15" t="n">
        <v>46189</v>
      </c>
      <c r="C747" s="14" t="n">
        <v>2094.71</v>
      </c>
      <c r="D747" s="14" t="n">
        <v>1098468</v>
      </c>
      <c r="E747" s="16" t="n">
        <f aca="false">COUNTIFS($A$2:$A$1561,A747,$B$2:$B$1561,"&gt;"&amp;B747)+1</f>
        <v>35</v>
      </c>
      <c r="F747" s="16" t="n">
        <f aca="false">IF(A747=A746,C747-C746,"")</f>
        <v>10.0999999999999</v>
      </c>
      <c r="G747" s="16" t="n">
        <f aca="false">IF(A747=A746,IF(F747&gt;0,F747,0),"")</f>
        <v>10.0999999999999</v>
      </c>
      <c r="H747" s="16" t="n">
        <f aca="false">IF(A747=A746,IF(F747&lt;0,-F747,0),"")</f>
        <v>0</v>
      </c>
    </row>
    <row r="748" customFormat="false" ht="15" hidden="false" customHeight="false" outlineLevel="0" collapsed="false">
      <c r="A748" s="14" t="s">
        <v>94</v>
      </c>
      <c r="B748" s="15" t="n">
        <v>46190</v>
      </c>
      <c r="C748" s="14" t="n">
        <v>2089.67</v>
      </c>
      <c r="D748" s="14" t="n">
        <v>2156578</v>
      </c>
      <c r="E748" s="16" t="n">
        <f aca="false">COUNTIFS($A$2:$A$1561,A748,$B$2:$B$1561,"&gt;"&amp;B748)+1</f>
        <v>34</v>
      </c>
      <c r="F748" s="16" t="n">
        <f aca="false">IF(A748=A747,C748-C747,"")</f>
        <v>-5.03999999999996</v>
      </c>
      <c r="G748" s="16" t="n">
        <f aca="false">IF(A748=A747,IF(F748&gt;0,F748,0),"")</f>
        <v>0</v>
      </c>
      <c r="H748" s="16" t="n">
        <f aca="false">IF(A748=A747,IF(F748&lt;0,-F748,0),"")</f>
        <v>5.03999999999996</v>
      </c>
    </row>
    <row r="749" customFormat="false" ht="15" hidden="false" customHeight="false" outlineLevel="0" collapsed="false">
      <c r="A749" s="14" t="s">
        <v>94</v>
      </c>
      <c r="B749" s="15" t="n">
        <v>46191</v>
      </c>
      <c r="C749" s="14" t="n">
        <v>2092.02</v>
      </c>
      <c r="D749" s="14" t="n">
        <v>1917479</v>
      </c>
      <c r="E749" s="16" t="n">
        <f aca="false">COUNTIFS($A$2:$A$1561,A749,$B$2:$B$1561,"&gt;"&amp;B749)+1</f>
        <v>33</v>
      </c>
      <c r="F749" s="16" t="n">
        <f aca="false">IF(A749=A748,C749-C748,"")</f>
        <v>2.34999999999991</v>
      </c>
      <c r="G749" s="16" t="n">
        <f aca="false">IF(A749=A748,IF(F749&gt;0,F749,0),"")</f>
        <v>2.34999999999991</v>
      </c>
      <c r="H749" s="16" t="n">
        <f aca="false">IF(A749=A748,IF(F749&lt;0,-F749,0),"")</f>
        <v>0</v>
      </c>
    </row>
    <row r="750" customFormat="false" ht="15" hidden="false" customHeight="false" outlineLevel="0" collapsed="false">
      <c r="A750" s="14" t="s">
        <v>94</v>
      </c>
      <c r="B750" s="15" t="n">
        <v>46192</v>
      </c>
      <c r="C750" s="14" t="n">
        <v>2085.61</v>
      </c>
      <c r="D750" s="14" t="n">
        <v>2131497</v>
      </c>
      <c r="E750" s="16" t="n">
        <f aca="false">COUNTIFS($A$2:$A$1561,A750,$B$2:$B$1561,"&gt;"&amp;B750)+1</f>
        <v>32</v>
      </c>
      <c r="F750" s="16" t="n">
        <f aca="false">IF(A750=A749,C750-C749,"")</f>
        <v>-6.40999999999985</v>
      </c>
      <c r="G750" s="16" t="n">
        <f aca="false">IF(A750=A749,IF(F750&gt;0,F750,0),"")</f>
        <v>0</v>
      </c>
      <c r="H750" s="16" t="n">
        <f aca="false">IF(A750=A749,IF(F750&lt;0,-F750,0),"")</f>
        <v>6.40999999999985</v>
      </c>
    </row>
    <row r="751" customFormat="false" ht="15" hidden="false" customHeight="false" outlineLevel="0" collapsed="false">
      <c r="A751" s="14" t="s">
        <v>94</v>
      </c>
      <c r="B751" s="15" t="n">
        <v>46195</v>
      </c>
      <c r="C751" s="14" t="n">
        <v>2081.79</v>
      </c>
      <c r="D751" s="14" t="n">
        <v>1847612</v>
      </c>
      <c r="E751" s="16" t="n">
        <f aca="false">COUNTIFS($A$2:$A$1561,A751,$B$2:$B$1561,"&gt;"&amp;B751)+1</f>
        <v>31</v>
      </c>
      <c r="F751" s="16" t="n">
        <f aca="false">IF(A751=A750,C751-C750,"")</f>
        <v>-3.82000000000016</v>
      </c>
      <c r="G751" s="16" t="n">
        <f aca="false">IF(A751=A750,IF(F751&gt;0,F751,0),"")</f>
        <v>0</v>
      </c>
      <c r="H751" s="16" t="n">
        <f aca="false">IF(A751=A750,IF(F751&lt;0,-F751,0),"")</f>
        <v>3.82000000000016</v>
      </c>
    </row>
    <row r="752" customFormat="false" ht="15" hidden="false" customHeight="false" outlineLevel="0" collapsed="false">
      <c r="A752" s="14" t="s">
        <v>94</v>
      </c>
      <c r="B752" s="15" t="n">
        <v>46196</v>
      </c>
      <c r="C752" s="14" t="n">
        <v>2100.9</v>
      </c>
      <c r="D752" s="14" t="n">
        <v>1667404</v>
      </c>
      <c r="E752" s="16" t="n">
        <f aca="false">COUNTIFS($A$2:$A$1561,A752,$B$2:$B$1561,"&gt;"&amp;B752)+1</f>
        <v>30</v>
      </c>
      <c r="F752" s="16" t="n">
        <f aca="false">IF(A752=A751,C752-C751,"")</f>
        <v>19.1100000000001</v>
      </c>
      <c r="G752" s="16" t="n">
        <f aca="false">IF(A752=A751,IF(F752&gt;0,F752,0),"")</f>
        <v>19.1100000000001</v>
      </c>
      <c r="H752" s="16" t="n">
        <f aca="false">IF(A752=A751,IF(F752&lt;0,-F752,0),"")</f>
        <v>0</v>
      </c>
    </row>
    <row r="753" customFormat="false" ht="15" hidden="false" customHeight="false" outlineLevel="0" collapsed="false">
      <c r="A753" s="14" t="s">
        <v>94</v>
      </c>
      <c r="B753" s="15" t="n">
        <v>46197</v>
      </c>
      <c r="C753" s="14" t="n">
        <v>2113.26</v>
      </c>
      <c r="D753" s="14" t="n">
        <v>1950648</v>
      </c>
      <c r="E753" s="16" t="n">
        <f aca="false">COUNTIFS($A$2:$A$1561,A753,$B$2:$B$1561,"&gt;"&amp;B753)+1</f>
        <v>29</v>
      </c>
      <c r="F753" s="16" t="n">
        <f aca="false">IF(A753=A752,C753-C752,"")</f>
        <v>12.3600000000001</v>
      </c>
      <c r="G753" s="16" t="n">
        <f aca="false">IF(A753=A752,IF(F753&gt;0,F753,0),"")</f>
        <v>12.3600000000001</v>
      </c>
      <c r="H753" s="16" t="n">
        <f aca="false">IF(A753=A752,IF(F753&lt;0,-F753,0),"")</f>
        <v>0</v>
      </c>
    </row>
    <row r="754" customFormat="false" ht="15" hidden="false" customHeight="false" outlineLevel="0" collapsed="false">
      <c r="A754" s="14" t="s">
        <v>94</v>
      </c>
      <c r="B754" s="15" t="n">
        <v>46198</v>
      </c>
      <c r="C754" s="14" t="n">
        <v>2121.55</v>
      </c>
      <c r="D754" s="14" t="n">
        <v>553294</v>
      </c>
      <c r="E754" s="16" t="n">
        <f aca="false">COUNTIFS($A$2:$A$1561,A754,$B$2:$B$1561,"&gt;"&amp;B754)+1</f>
        <v>28</v>
      </c>
      <c r="F754" s="16" t="n">
        <f aca="false">IF(A754=A753,C754-C753,"")</f>
        <v>8.28999999999996</v>
      </c>
      <c r="G754" s="16" t="n">
        <f aca="false">IF(A754=A753,IF(F754&gt;0,F754,0),"")</f>
        <v>8.28999999999996</v>
      </c>
      <c r="H754" s="16" t="n">
        <f aca="false">IF(A754=A753,IF(F754&lt;0,-F754,0),"")</f>
        <v>0</v>
      </c>
    </row>
    <row r="755" customFormat="false" ht="15" hidden="false" customHeight="false" outlineLevel="0" collapsed="false">
      <c r="A755" s="14" t="s">
        <v>94</v>
      </c>
      <c r="B755" s="15" t="n">
        <v>46199</v>
      </c>
      <c r="C755" s="14" t="n">
        <v>2121.73</v>
      </c>
      <c r="D755" s="14" t="n">
        <v>2434141</v>
      </c>
      <c r="E755" s="16" t="n">
        <f aca="false">COUNTIFS($A$2:$A$1561,A755,$B$2:$B$1561,"&gt;"&amp;B755)+1</f>
        <v>27</v>
      </c>
      <c r="F755" s="16" t="n">
        <f aca="false">IF(A755=A754,C755-C754,"")</f>
        <v>0.179999999999836</v>
      </c>
      <c r="G755" s="16" t="n">
        <f aca="false">IF(A755=A754,IF(F755&gt;0,F755,0),"")</f>
        <v>0.179999999999836</v>
      </c>
      <c r="H755" s="16" t="n">
        <f aca="false">IF(A755=A754,IF(F755&lt;0,-F755,0),"")</f>
        <v>0</v>
      </c>
    </row>
    <row r="756" customFormat="false" ht="15" hidden="false" customHeight="false" outlineLevel="0" collapsed="false">
      <c r="A756" s="14" t="s">
        <v>94</v>
      </c>
      <c r="B756" s="15" t="n">
        <v>46202</v>
      </c>
      <c r="C756" s="14" t="n">
        <v>2133.68</v>
      </c>
      <c r="D756" s="14" t="n">
        <v>2052324</v>
      </c>
      <c r="E756" s="16" t="n">
        <f aca="false">COUNTIFS($A$2:$A$1561,A756,$B$2:$B$1561,"&gt;"&amp;B756)+1</f>
        <v>26</v>
      </c>
      <c r="F756" s="16" t="n">
        <f aca="false">IF(A756=A755,C756-C755,"")</f>
        <v>11.9499999999998</v>
      </c>
      <c r="G756" s="16" t="n">
        <f aca="false">IF(A756=A755,IF(F756&gt;0,F756,0),"")</f>
        <v>11.9499999999998</v>
      </c>
      <c r="H756" s="16" t="n">
        <f aca="false">IF(A756=A755,IF(F756&lt;0,-F756,0),"")</f>
        <v>0</v>
      </c>
    </row>
    <row r="757" customFormat="false" ht="15" hidden="false" customHeight="false" outlineLevel="0" collapsed="false">
      <c r="A757" s="14" t="s">
        <v>94</v>
      </c>
      <c r="B757" s="15" t="n">
        <v>46203</v>
      </c>
      <c r="C757" s="14" t="n">
        <v>2137.81</v>
      </c>
      <c r="D757" s="14" t="n">
        <v>1942800</v>
      </c>
      <c r="E757" s="16" t="n">
        <f aca="false">COUNTIFS($A$2:$A$1561,A757,$B$2:$B$1561,"&gt;"&amp;B757)+1</f>
        <v>25</v>
      </c>
      <c r="F757" s="16" t="n">
        <f aca="false">IF(A757=A756,C757-C756,"")</f>
        <v>4.13000000000011</v>
      </c>
      <c r="G757" s="16" t="n">
        <f aca="false">IF(A757=A756,IF(F757&gt;0,F757,0),"")</f>
        <v>4.13000000000011</v>
      </c>
      <c r="H757" s="16" t="n">
        <f aca="false">IF(A757=A756,IF(F757&lt;0,-F757,0),"")</f>
        <v>0</v>
      </c>
    </row>
    <row r="758" customFormat="false" ht="15" hidden="false" customHeight="false" outlineLevel="0" collapsed="false">
      <c r="A758" s="14" t="s">
        <v>94</v>
      </c>
      <c r="B758" s="15" t="n">
        <v>46204</v>
      </c>
      <c r="C758" s="14" t="n">
        <v>2142.18</v>
      </c>
      <c r="D758" s="14" t="n">
        <v>841024</v>
      </c>
      <c r="E758" s="16" t="n">
        <f aca="false">COUNTIFS($A$2:$A$1561,A758,$B$2:$B$1561,"&gt;"&amp;B758)+1</f>
        <v>24</v>
      </c>
      <c r="F758" s="16" t="n">
        <f aca="false">IF(A758=A757,C758-C757,"")</f>
        <v>4.36999999999989</v>
      </c>
      <c r="G758" s="16" t="n">
        <f aca="false">IF(A758=A757,IF(F758&gt;0,F758,0),"")</f>
        <v>4.36999999999989</v>
      </c>
      <c r="H758" s="16" t="n">
        <f aca="false">IF(A758=A757,IF(F758&lt;0,-F758,0),"")</f>
        <v>0</v>
      </c>
    </row>
    <row r="759" customFormat="false" ht="15" hidden="false" customHeight="false" outlineLevel="0" collapsed="false">
      <c r="A759" s="14" t="s">
        <v>94</v>
      </c>
      <c r="B759" s="15" t="n">
        <v>46205</v>
      </c>
      <c r="C759" s="14" t="n">
        <v>2148.31</v>
      </c>
      <c r="D759" s="14" t="n">
        <v>1739471</v>
      </c>
      <c r="E759" s="16" t="n">
        <f aca="false">COUNTIFS($A$2:$A$1561,A759,$B$2:$B$1561,"&gt;"&amp;B759)+1</f>
        <v>23</v>
      </c>
      <c r="F759" s="16" t="n">
        <f aca="false">IF(A759=A758,C759-C758,"")</f>
        <v>6.13000000000011</v>
      </c>
      <c r="G759" s="16" t="n">
        <f aca="false">IF(A759=A758,IF(F759&gt;0,F759,0),"")</f>
        <v>6.13000000000011</v>
      </c>
      <c r="H759" s="16" t="n">
        <f aca="false">IF(A759=A758,IF(F759&lt;0,-F759,0),"")</f>
        <v>0</v>
      </c>
    </row>
    <row r="760" customFormat="false" ht="15" hidden="false" customHeight="false" outlineLevel="0" collapsed="false">
      <c r="A760" s="14" t="s">
        <v>94</v>
      </c>
      <c r="B760" s="15" t="n">
        <v>46206</v>
      </c>
      <c r="C760" s="14" t="n">
        <v>2162.66</v>
      </c>
      <c r="D760" s="14" t="n">
        <v>795551</v>
      </c>
      <c r="E760" s="16" t="n">
        <f aca="false">COUNTIFS($A$2:$A$1561,A760,$B$2:$B$1561,"&gt;"&amp;B760)+1</f>
        <v>22</v>
      </c>
      <c r="F760" s="16" t="n">
        <f aca="false">IF(A760=A759,C760-C759,"")</f>
        <v>14.3499999999999</v>
      </c>
      <c r="G760" s="16" t="n">
        <f aca="false">IF(A760=A759,IF(F760&gt;0,F760,0),"")</f>
        <v>14.3499999999999</v>
      </c>
      <c r="H760" s="16" t="n">
        <f aca="false">IF(A760=A759,IF(F760&lt;0,-F760,0),"")</f>
        <v>0</v>
      </c>
    </row>
    <row r="761" customFormat="false" ht="15" hidden="false" customHeight="false" outlineLevel="0" collapsed="false">
      <c r="A761" s="14" t="s">
        <v>94</v>
      </c>
      <c r="B761" s="15" t="n">
        <v>46209</v>
      </c>
      <c r="C761" s="14" t="n">
        <v>2170.87</v>
      </c>
      <c r="D761" s="14" t="n">
        <v>563141</v>
      </c>
      <c r="E761" s="16" t="n">
        <f aca="false">COUNTIFS($A$2:$A$1561,A761,$B$2:$B$1561,"&gt;"&amp;B761)+1</f>
        <v>21</v>
      </c>
      <c r="F761" s="16" t="n">
        <f aca="false">IF(A761=A760,C761-C760,"")</f>
        <v>8.21000000000004</v>
      </c>
      <c r="G761" s="16" t="n">
        <f aca="false">IF(A761=A760,IF(F761&gt;0,F761,0),"")</f>
        <v>8.21000000000004</v>
      </c>
      <c r="H761" s="16" t="n">
        <f aca="false">IF(A761=A760,IF(F761&lt;0,-F761,0),"")</f>
        <v>0</v>
      </c>
    </row>
    <row r="762" customFormat="false" ht="15" hidden="false" customHeight="false" outlineLevel="0" collapsed="false">
      <c r="A762" s="14" t="s">
        <v>94</v>
      </c>
      <c r="B762" s="15" t="n">
        <v>46210</v>
      </c>
      <c r="C762" s="14" t="n">
        <v>2189.55</v>
      </c>
      <c r="D762" s="14" t="n">
        <v>719791</v>
      </c>
      <c r="E762" s="16" t="n">
        <f aca="false">COUNTIFS($A$2:$A$1561,A762,$B$2:$B$1561,"&gt;"&amp;B762)+1</f>
        <v>20</v>
      </c>
      <c r="F762" s="16" t="n">
        <f aca="false">IF(A762=A761,C762-C761,"")</f>
        <v>18.6800000000003</v>
      </c>
      <c r="G762" s="16" t="n">
        <f aca="false">IF(A762=A761,IF(F762&gt;0,F762,0),"")</f>
        <v>18.6800000000003</v>
      </c>
      <c r="H762" s="16" t="n">
        <f aca="false">IF(A762=A761,IF(F762&lt;0,-F762,0),"")</f>
        <v>0</v>
      </c>
    </row>
    <row r="763" customFormat="false" ht="15" hidden="false" customHeight="false" outlineLevel="0" collapsed="false">
      <c r="A763" s="14" t="s">
        <v>94</v>
      </c>
      <c r="B763" s="15" t="n">
        <v>46211</v>
      </c>
      <c r="C763" s="14" t="n">
        <v>2171.78</v>
      </c>
      <c r="D763" s="14" t="n">
        <v>1127384</v>
      </c>
      <c r="E763" s="16" t="n">
        <f aca="false">COUNTIFS($A$2:$A$1561,A763,$B$2:$B$1561,"&gt;"&amp;B763)+1</f>
        <v>19</v>
      </c>
      <c r="F763" s="16" t="n">
        <f aca="false">IF(A763=A762,C763-C762,"")</f>
        <v>-17.77</v>
      </c>
      <c r="G763" s="16" t="n">
        <f aca="false">IF(A763=A762,IF(F763&gt;0,F763,0),"")</f>
        <v>0</v>
      </c>
      <c r="H763" s="16" t="n">
        <f aca="false">IF(A763=A762,IF(F763&lt;0,-F763,0),"")</f>
        <v>17.77</v>
      </c>
    </row>
    <row r="764" customFormat="false" ht="15" hidden="false" customHeight="false" outlineLevel="0" collapsed="false">
      <c r="A764" s="14" t="s">
        <v>94</v>
      </c>
      <c r="B764" s="15" t="n">
        <v>46212</v>
      </c>
      <c r="C764" s="14" t="n">
        <v>2159.32</v>
      </c>
      <c r="D764" s="14" t="n">
        <v>1881000</v>
      </c>
      <c r="E764" s="16" t="n">
        <f aca="false">COUNTIFS($A$2:$A$1561,A764,$B$2:$B$1561,"&gt;"&amp;B764)+1</f>
        <v>18</v>
      </c>
      <c r="F764" s="16" t="n">
        <f aca="false">IF(A764=A763,C764-C763,"")</f>
        <v>-12.46</v>
      </c>
      <c r="G764" s="16" t="n">
        <f aca="false">IF(A764=A763,IF(F764&gt;0,F764,0),"")</f>
        <v>0</v>
      </c>
      <c r="H764" s="16" t="n">
        <f aca="false">IF(A764=A763,IF(F764&lt;0,-F764,0),"")</f>
        <v>12.46</v>
      </c>
    </row>
    <row r="765" customFormat="false" ht="15" hidden="false" customHeight="false" outlineLevel="0" collapsed="false">
      <c r="A765" s="14" t="s">
        <v>94</v>
      </c>
      <c r="B765" s="15" t="n">
        <v>46213</v>
      </c>
      <c r="C765" s="14" t="n">
        <v>2157.01</v>
      </c>
      <c r="D765" s="14" t="n">
        <v>2049944</v>
      </c>
      <c r="E765" s="16" t="n">
        <f aca="false">COUNTIFS($A$2:$A$1561,A765,$B$2:$B$1561,"&gt;"&amp;B765)+1</f>
        <v>17</v>
      </c>
      <c r="F765" s="16" t="n">
        <f aca="false">IF(A765=A764,C765-C764,"")</f>
        <v>-2.30999999999995</v>
      </c>
      <c r="G765" s="16" t="n">
        <f aca="false">IF(A765=A764,IF(F765&gt;0,F765,0),"")</f>
        <v>0</v>
      </c>
      <c r="H765" s="16" t="n">
        <f aca="false">IF(A765=A764,IF(F765&lt;0,-F765,0),"")</f>
        <v>2.30999999999995</v>
      </c>
    </row>
    <row r="766" customFormat="false" ht="15" hidden="false" customHeight="false" outlineLevel="0" collapsed="false">
      <c r="A766" s="14" t="s">
        <v>94</v>
      </c>
      <c r="B766" s="15" t="n">
        <v>46216</v>
      </c>
      <c r="C766" s="14" t="n">
        <v>2174.5</v>
      </c>
      <c r="D766" s="14" t="n">
        <v>2245635</v>
      </c>
      <c r="E766" s="16" t="n">
        <f aca="false">COUNTIFS($A$2:$A$1561,A766,$B$2:$B$1561,"&gt;"&amp;B766)+1</f>
        <v>16</v>
      </c>
      <c r="F766" s="16" t="n">
        <f aca="false">IF(A766=A765,C766-C765,"")</f>
        <v>17.4899999999998</v>
      </c>
      <c r="G766" s="16" t="n">
        <f aca="false">IF(A766=A765,IF(F766&gt;0,F766,0),"")</f>
        <v>17.4899999999998</v>
      </c>
      <c r="H766" s="16" t="n">
        <f aca="false">IF(A766=A765,IF(F766&lt;0,-F766,0),"")</f>
        <v>0</v>
      </c>
    </row>
    <row r="767" customFormat="false" ht="15" hidden="false" customHeight="false" outlineLevel="0" collapsed="false">
      <c r="A767" s="14" t="s">
        <v>94</v>
      </c>
      <c r="B767" s="15" t="n">
        <v>46217</v>
      </c>
      <c r="C767" s="14" t="n">
        <v>2184.9</v>
      </c>
      <c r="D767" s="14" t="n">
        <v>624562</v>
      </c>
      <c r="E767" s="16" t="n">
        <f aca="false">COUNTIFS($A$2:$A$1561,A767,$B$2:$B$1561,"&gt;"&amp;B767)+1</f>
        <v>15</v>
      </c>
      <c r="F767" s="16" t="n">
        <f aca="false">IF(A767=A766,C767-C766,"")</f>
        <v>10.4000000000001</v>
      </c>
      <c r="G767" s="16" t="n">
        <f aca="false">IF(A767=A766,IF(F767&gt;0,F767,0),"")</f>
        <v>10.4000000000001</v>
      </c>
      <c r="H767" s="16" t="n">
        <f aca="false">IF(A767=A766,IF(F767&lt;0,-F767,0),"")</f>
        <v>0</v>
      </c>
    </row>
    <row r="768" customFormat="false" ht="15" hidden="false" customHeight="false" outlineLevel="0" collapsed="false">
      <c r="A768" s="14" t="s">
        <v>94</v>
      </c>
      <c r="B768" s="15" t="n">
        <v>46218</v>
      </c>
      <c r="C768" s="14" t="n">
        <v>2171.85</v>
      </c>
      <c r="D768" s="14" t="n">
        <v>914683</v>
      </c>
      <c r="E768" s="16" t="n">
        <f aca="false">COUNTIFS($A$2:$A$1561,A768,$B$2:$B$1561,"&gt;"&amp;B768)+1</f>
        <v>14</v>
      </c>
      <c r="F768" s="16" t="n">
        <f aca="false">IF(A768=A767,C768-C767,"")</f>
        <v>-13.0500000000002</v>
      </c>
      <c r="G768" s="16" t="n">
        <f aca="false">IF(A768=A767,IF(F768&gt;0,F768,0),"")</f>
        <v>0</v>
      </c>
      <c r="H768" s="16" t="n">
        <f aca="false">IF(A768=A767,IF(F768&lt;0,-F768,0),"")</f>
        <v>13.0500000000002</v>
      </c>
    </row>
    <row r="769" customFormat="false" ht="15" hidden="false" customHeight="false" outlineLevel="0" collapsed="false">
      <c r="A769" s="14" t="s">
        <v>94</v>
      </c>
      <c r="B769" s="15" t="n">
        <v>46219</v>
      </c>
      <c r="C769" s="14" t="n">
        <v>2166.18</v>
      </c>
      <c r="D769" s="14" t="n">
        <v>1824453</v>
      </c>
      <c r="E769" s="16" t="n">
        <f aca="false">COUNTIFS($A$2:$A$1561,A769,$B$2:$B$1561,"&gt;"&amp;B769)+1</f>
        <v>13</v>
      </c>
      <c r="F769" s="16" t="n">
        <f aca="false">IF(A769=A768,C769-C768,"")</f>
        <v>-5.67000000000007</v>
      </c>
      <c r="G769" s="16" t="n">
        <f aca="false">IF(A769=A768,IF(F769&gt;0,F769,0),"")</f>
        <v>0</v>
      </c>
      <c r="H769" s="16" t="n">
        <f aca="false">IF(A769=A768,IF(F769&lt;0,-F769,0),"")</f>
        <v>5.67000000000007</v>
      </c>
    </row>
    <row r="770" customFormat="false" ht="15" hidden="false" customHeight="false" outlineLevel="0" collapsed="false">
      <c r="A770" s="14" t="s">
        <v>94</v>
      </c>
      <c r="B770" s="15" t="n">
        <v>46220</v>
      </c>
      <c r="C770" s="14" t="n">
        <v>2168.35</v>
      </c>
      <c r="D770" s="14" t="n">
        <v>1127505</v>
      </c>
      <c r="E770" s="16" t="n">
        <f aca="false">COUNTIFS($A$2:$A$1561,A770,$B$2:$B$1561,"&gt;"&amp;B770)+1</f>
        <v>12</v>
      </c>
      <c r="F770" s="16" t="n">
        <f aca="false">IF(A770=A769,C770-C769,"")</f>
        <v>2.17000000000007</v>
      </c>
      <c r="G770" s="16" t="n">
        <f aca="false">IF(A770=A769,IF(F770&gt;0,F770,0),"")</f>
        <v>2.17000000000007</v>
      </c>
      <c r="H770" s="16" t="n">
        <f aca="false">IF(A770=A769,IF(F770&lt;0,-F770,0),"")</f>
        <v>0</v>
      </c>
    </row>
    <row r="771" customFormat="false" ht="15" hidden="false" customHeight="false" outlineLevel="0" collapsed="false">
      <c r="A771" s="14" t="s">
        <v>94</v>
      </c>
      <c r="B771" s="15" t="n">
        <v>46223</v>
      </c>
      <c r="C771" s="14" t="n">
        <v>2156.76</v>
      </c>
      <c r="D771" s="14" t="n">
        <v>2324248</v>
      </c>
      <c r="E771" s="16" t="n">
        <f aca="false">COUNTIFS($A$2:$A$1561,A771,$B$2:$B$1561,"&gt;"&amp;B771)+1</f>
        <v>11</v>
      </c>
      <c r="F771" s="16" t="n">
        <f aca="false">IF(A771=A770,C771-C770,"")</f>
        <v>-11.5899999999997</v>
      </c>
      <c r="G771" s="16" t="n">
        <f aca="false">IF(A771=A770,IF(F771&gt;0,F771,0),"")</f>
        <v>0</v>
      </c>
      <c r="H771" s="16" t="n">
        <f aca="false">IF(A771=A770,IF(F771&lt;0,-F771,0),"")</f>
        <v>11.5899999999997</v>
      </c>
    </row>
    <row r="772" customFormat="false" ht="15" hidden="false" customHeight="false" outlineLevel="0" collapsed="false">
      <c r="A772" s="14" t="s">
        <v>94</v>
      </c>
      <c r="B772" s="15" t="n">
        <v>46224</v>
      </c>
      <c r="C772" s="14" t="n">
        <v>2151.8</v>
      </c>
      <c r="D772" s="14" t="n">
        <v>1208573</v>
      </c>
      <c r="E772" s="16" t="n">
        <f aca="false">COUNTIFS($A$2:$A$1561,A772,$B$2:$B$1561,"&gt;"&amp;B772)+1</f>
        <v>10</v>
      </c>
      <c r="F772" s="16" t="n">
        <f aca="false">IF(A772=A771,C772-C771,"")</f>
        <v>-4.96000000000004</v>
      </c>
      <c r="G772" s="16" t="n">
        <f aca="false">IF(A772=A771,IF(F772&gt;0,F772,0),"")</f>
        <v>0</v>
      </c>
      <c r="H772" s="16" t="n">
        <f aca="false">IF(A772=A771,IF(F772&lt;0,-F772,0),"")</f>
        <v>4.96000000000004</v>
      </c>
    </row>
    <row r="773" customFormat="false" ht="15" hidden="false" customHeight="false" outlineLevel="0" collapsed="false">
      <c r="A773" s="14" t="s">
        <v>94</v>
      </c>
      <c r="B773" s="15" t="n">
        <v>46225</v>
      </c>
      <c r="C773" s="14" t="n">
        <v>2163.5</v>
      </c>
      <c r="D773" s="14" t="n">
        <v>1941849</v>
      </c>
      <c r="E773" s="16" t="n">
        <f aca="false">COUNTIFS($A$2:$A$1561,A773,$B$2:$B$1561,"&gt;"&amp;B773)+1</f>
        <v>9</v>
      </c>
      <c r="F773" s="16" t="n">
        <f aca="false">IF(A773=A772,C773-C772,"")</f>
        <v>11.6999999999998</v>
      </c>
      <c r="G773" s="16" t="n">
        <f aca="false">IF(A773=A772,IF(F773&gt;0,F773,0),"")</f>
        <v>11.6999999999998</v>
      </c>
      <c r="H773" s="16" t="n">
        <f aca="false">IF(A773=A772,IF(F773&lt;0,-F773,0),"")</f>
        <v>0</v>
      </c>
    </row>
    <row r="774" customFormat="false" ht="15" hidden="false" customHeight="false" outlineLevel="0" collapsed="false">
      <c r="A774" s="14" t="s">
        <v>94</v>
      </c>
      <c r="B774" s="15" t="n">
        <v>46226</v>
      </c>
      <c r="C774" s="14" t="n">
        <v>2170.25</v>
      </c>
      <c r="D774" s="14" t="n">
        <v>1886626</v>
      </c>
      <c r="E774" s="16" t="n">
        <f aca="false">COUNTIFS($A$2:$A$1561,A774,$B$2:$B$1561,"&gt;"&amp;B774)+1</f>
        <v>8</v>
      </c>
      <c r="F774" s="16" t="n">
        <f aca="false">IF(A774=A773,C774-C773,"")</f>
        <v>6.75</v>
      </c>
      <c r="G774" s="16" t="n">
        <f aca="false">IF(A774=A773,IF(F774&gt;0,F774,0),"")</f>
        <v>6.75</v>
      </c>
      <c r="H774" s="16" t="n">
        <f aca="false">IF(A774=A773,IF(F774&lt;0,-F774,0),"")</f>
        <v>0</v>
      </c>
    </row>
    <row r="775" customFormat="false" ht="15" hidden="false" customHeight="false" outlineLevel="0" collapsed="false">
      <c r="A775" s="14" t="s">
        <v>94</v>
      </c>
      <c r="B775" s="15" t="n">
        <v>46227</v>
      </c>
      <c r="C775" s="14" t="n">
        <v>2175.72</v>
      </c>
      <c r="D775" s="14" t="n">
        <v>884528</v>
      </c>
      <c r="E775" s="16" t="n">
        <f aca="false">COUNTIFS($A$2:$A$1561,A775,$B$2:$B$1561,"&gt;"&amp;B775)+1</f>
        <v>7</v>
      </c>
      <c r="F775" s="16" t="n">
        <f aca="false">IF(A775=A774,C775-C774,"")</f>
        <v>5.4699999999998</v>
      </c>
      <c r="G775" s="16" t="n">
        <f aca="false">IF(A775=A774,IF(F775&gt;0,F775,0),"")</f>
        <v>5.4699999999998</v>
      </c>
      <c r="H775" s="16" t="n">
        <f aca="false">IF(A775=A774,IF(F775&lt;0,-F775,0),"")</f>
        <v>0</v>
      </c>
    </row>
    <row r="776" customFormat="false" ht="15" hidden="false" customHeight="false" outlineLevel="0" collapsed="false">
      <c r="A776" s="14" t="s">
        <v>94</v>
      </c>
      <c r="B776" s="15" t="n">
        <v>46230</v>
      </c>
      <c r="C776" s="14" t="n">
        <v>2166.97</v>
      </c>
      <c r="D776" s="14" t="n">
        <v>1616173</v>
      </c>
      <c r="E776" s="16" t="n">
        <f aca="false">COUNTIFS($A$2:$A$1561,A776,$B$2:$B$1561,"&gt;"&amp;B776)+1</f>
        <v>6</v>
      </c>
      <c r="F776" s="16" t="n">
        <f aca="false">IF(A776=A775,C776-C775,"")</f>
        <v>-8.75</v>
      </c>
      <c r="G776" s="16" t="n">
        <f aca="false">IF(A776=A775,IF(F776&gt;0,F776,0),"")</f>
        <v>0</v>
      </c>
      <c r="H776" s="16" t="n">
        <f aca="false">IF(A776=A775,IF(F776&lt;0,-F776,0),"")</f>
        <v>8.75</v>
      </c>
    </row>
    <row r="777" customFormat="false" ht="15" hidden="false" customHeight="false" outlineLevel="0" collapsed="false">
      <c r="A777" s="14" t="s">
        <v>94</v>
      </c>
      <c r="B777" s="15" t="n">
        <v>46231</v>
      </c>
      <c r="C777" s="14" t="n">
        <v>2157.41</v>
      </c>
      <c r="D777" s="14" t="n">
        <v>2445821</v>
      </c>
      <c r="E777" s="16" t="n">
        <f aca="false">COUNTIFS($A$2:$A$1561,A777,$B$2:$B$1561,"&gt;"&amp;B777)+1</f>
        <v>5</v>
      </c>
      <c r="F777" s="16" t="n">
        <f aca="false">IF(A777=A776,C777-C776,"")</f>
        <v>-9.55999999999995</v>
      </c>
      <c r="G777" s="16" t="n">
        <f aca="false">IF(A777=A776,IF(F777&gt;0,F777,0),"")</f>
        <v>0</v>
      </c>
      <c r="H777" s="16" t="n">
        <f aca="false">IF(A777=A776,IF(F777&lt;0,-F777,0),"")</f>
        <v>9.55999999999995</v>
      </c>
    </row>
    <row r="778" customFormat="false" ht="15" hidden="false" customHeight="false" outlineLevel="0" collapsed="false">
      <c r="A778" s="14" t="s">
        <v>94</v>
      </c>
      <c r="B778" s="15" t="n">
        <v>46232</v>
      </c>
      <c r="C778" s="14" t="n">
        <v>2150.71</v>
      </c>
      <c r="D778" s="14" t="n">
        <v>1078008</v>
      </c>
      <c r="E778" s="16" t="n">
        <f aca="false">COUNTIFS($A$2:$A$1561,A778,$B$2:$B$1561,"&gt;"&amp;B778)+1</f>
        <v>4</v>
      </c>
      <c r="F778" s="16" t="n">
        <f aca="false">IF(A778=A777,C778-C777,"")</f>
        <v>-6.69999999999982</v>
      </c>
      <c r="G778" s="16" t="n">
        <f aca="false">IF(A778=A777,IF(F778&gt;0,F778,0),"")</f>
        <v>0</v>
      </c>
      <c r="H778" s="16" t="n">
        <f aca="false">IF(A778=A777,IF(F778&lt;0,-F778,0),"")</f>
        <v>6.69999999999982</v>
      </c>
    </row>
    <row r="779" customFormat="false" ht="15" hidden="false" customHeight="false" outlineLevel="0" collapsed="false">
      <c r="A779" s="14" t="s">
        <v>94</v>
      </c>
      <c r="B779" s="15" t="n">
        <v>46233</v>
      </c>
      <c r="C779" s="14" t="n">
        <v>2140.54</v>
      </c>
      <c r="D779" s="14" t="n">
        <v>1909976</v>
      </c>
      <c r="E779" s="16" t="n">
        <f aca="false">COUNTIFS($A$2:$A$1561,A779,$B$2:$B$1561,"&gt;"&amp;B779)+1</f>
        <v>3</v>
      </c>
      <c r="F779" s="16" t="n">
        <f aca="false">IF(A779=A778,C779-C778,"")</f>
        <v>-10.1700000000001</v>
      </c>
      <c r="G779" s="16" t="n">
        <f aca="false">IF(A779=A778,IF(F779&gt;0,F779,0),"")</f>
        <v>0</v>
      </c>
      <c r="H779" s="16" t="n">
        <f aca="false">IF(A779=A778,IF(F779&lt;0,-F779,0),"")</f>
        <v>10.1700000000001</v>
      </c>
    </row>
    <row r="780" customFormat="false" ht="15" hidden="false" customHeight="false" outlineLevel="0" collapsed="false">
      <c r="A780" s="14" t="s">
        <v>94</v>
      </c>
      <c r="B780" s="15" t="n">
        <v>46234</v>
      </c>
      <c r="C780" s="14" t="n">
        <v>2134.65</v>
      </c>
      <c r="D780" s="14" t="n">
        <v>1197606</v>
      </c>
      <c r="E780" s="16" t="n">
        <f aca="false">COUNTIFS($A$2:$A$1561,A780,$B$2:$B$1561,"&gt;"&amp;B780)+1</f>
        <v>2</v>
      </c>
      <c r="F780" s="16" t="n">
        <f aca="false">IF(A780=A779,C780-C779,"")</f>
        <v>-5.88999999999987</v>
      </c>
      <c r="G780" s="16" t="n">
        <f aca="false">IF(A780=A779,IF(F780&gt;0,F780,0),"")</f>
        <v>0</v>
      </c>
      <c r="H780" s="16" t="n">
        <f aca="false">IF(A780=A779,IF(F780&lt;0,-F780,0),"")</f>
        <v>5.88999999999987</v>
      </c>
    </row>
    <row r="781" customFormat="false" ht="15" hidden="false" customHeight="false" outlineLevel="0" collapsed="false">
      <c r="A781" s="14" t="s">
        <v>94</v>
      </c>
      <c r="B781" s="15" t="n">
        <v>46237</v>
      </c>
      <c r="C781" s="14" t="n">
        <v>2152.47</v>
      </c>
      <c r="D781" s="14" t="n">
        <v>2090810</v>
      </c>
      <c r="E781" s="16" t="n">
        <f aca="false">COUNTIFS($A$2:$A$1561,A781,$B$2:$B$1561,"&gt;"&amp;B781)+1</f>
        <v>1</v>
      </c>
      <c r="F781" s="16" t="n">
        <f aca="false">IF(A781=A780,C781-C780,"")</f>
        <v>17.8199999999997</v>
      </c>
      <c r="G781" s="16" t="n">
        <f aca="false">IF(A781=A780,IF(F781&gt;0,F781,0),"")</f>
        <v>17.8199999999997</v>
      </c>
      <c r="H781" s="16" t="n">
        <f aca="false">IF(A781=A780,IF(F781&lt;0,-F781,0),"")</f>
        <v>0</v>
      </c>
    </row>
    <row r="782" customFormat="false" ht="15" hidden="false" customHeight="false" outlineLevel="0" collapsed="false">
      <c r="A782" s="14" t="s">
        <v>98</v>
      </c>
      <c r="B782" s="15" t="n">
        <v>45874</v>
      </c>
      <c r="C782" s="14" t="n">
        <v>2281.9</v>
      </c>
      <c r="D782" s="14" t="n">
        <v>743748</v>
      </c>
      <c r="E782" s="16" t="n">
        <f aca="false">COUNTIFS($A$2:$A$1561,A782,$B$2:$B$1561,"&gt;"&amp;B782)+1</f>
        <v>260</v>
      </c>
      <c r="F782" s="16" t="str">
        <f aca="false">IF(A782=A781,C782-C781,"")</f>
        <v/>
      </c>
      <c r="G782" s="16" t="str">
        <f aca="false">IF(A782=A781,IF(F782&gt;0,F782,0),"")</f>
        <v/>
      </c>
      <c r="H782" s="16" t="str">
        <f aca="false">IF(A782=A781,IF(F782&lt;0,-F782,0),"")</f>
        <v/>
      </c>
    </row>
    <row r="783" customFormat="false" ht="15" hidden="false" customHeight="false" outlineLevel="0" collapsed="false">
      <c r="A783" s="14" t="s">
        <v>98</v>
      </c>
      <c r="B783" s="15" t="n">
        <v>45875</v>
      </c>
      <c r="C783" s="14" t="n">
        <v>2290.39</v>
      </c>
      <c r="D783" s="14" t="n">
        <v>1259388</v>
      </c>
      <c r="E783" s="16" t="n">
        <f aca="false">COUNTIFS($A$2:$A$1561,A783,$B$2:$B$1561,"&gt;"&amp;B783)+1</f>
        <v>259</v>
      </c>
      <c r="F783" s="16" t="n">
        <f aca="false">IF(A783=A782,C783-C782,"")</f>
        <v>8.48999999999978</v>
      </c>
      <c r="G783" s="16" t="n">
        <f aca="false">IF(A783=A782,IF(F783&gt;0,F783,0),"")</f>
        <v>8.48999999999978</v>
      </c>
      <c r="H783" s="16" t="n">
        <f aca="false">IF(A783=A782,IF(F783&lt;0,-F783,0),"")</f>
        <v>0</v>
      </c>
    </row>
    <row r="784" customFormat="false" ht="15" hidden="false" customHeight="false" outlineLevel="0" collapsed="false">
      <c r="A784" s="14" t="s">
        <v>98</v>
      </c>
      <c r="B784" s="15" t="n">
        <v>45876</v>
      </c>
      <c r="C784" s="14" t="n">
        <v>2311.42</v>
      </c>
      <c r="D784" s="14" t="n">
        <v>2136754</v>
      </c>
      <c r="E784" s="16" t="n">
        <f aca="false">COUNTIFS($A$2:$A$1561,A784,$B$2:$B$1561,"&gt;"&amp;B784)+1</f>
        <v>258</v>
      </c>
      <c r="F784" s="16" t="n">
        <f aca="false">IF(A784=A783,C784-C783,"")</f>
        <v>21.0300000000002</v>
      </c>
      <c r="G784" s="16" t="n">
        <f aca="false">IF(A784=A783,IF(F784&gt;0,F784,0),"")</f>
        <v>21.0300000000002</v>
      </c>
      <c r="H784" s="16" t="n">
        <f aca="false">IF(A784=A783,IF(F784&lt;0,-F784,0),"")</f>
        <v>0</v>
      </c>
    </row>
    <row r="785" customFormat="false" ht="15" hidden="false" customHeight="false" outlineLevel="0" collapsed="false">
      <c r="A785" s="14" t="s">
        <v>98</v>
      </c>
      <c r="B785" s="15" t="n">
        <v>45877</v>
      </c>
      <c r="C785" s="14" t="n">
        <v>2331.58</v>
      </c>
      <c r="D785" s="14" t="n">
        <v>2109231</v>
      </c>
      <c r="E785" s="16" t="n">
        <f aca="false">COUNTIFS($A$2:$A$1561,A785,$B$2:$B$1561,"&gt;"&amp;B785)+1</f>
        <v>257</v>
      </c>
      <c r="F785" s="16" t="n">
        <f aca="false">IF(A785=A784,C785-C784,"")</f>
        <v>20.1599999999999</v>
      </c>
      <c r="G785" s="16" t="n">
        <f aca="false">IF(A785=A784,IF(F785&gt;0,F785,0),"")</f>
        <v>20.1599999999999</v>
      </c>
      <c r="H785" s="16" t="n">
        <f aca="false">IF(A785=A784,IF(F785&lt;0,-F785,0),"")</f>
        <v>0</v>
      </c>
    </row>
    <row r="786" customFormat="false" ht="15" hidden="false" customHeight="false" outlineLevel="0" collapsed="false">
      <c r="A786" s="14" t="s">
        <v>98</v>
      </c>
      <c r="B786" s="15" t="n">
        <v>45880</v>
      </c>
      <c r="C786" s="14" t="n">
        <v>2324.04</v>
      </c>
      <c r="D786" s="14" t="n">
        <v>1075260</v>
      </c>
      <c r="E786" s="16" t="n">
        <f aca="false">COUNTIFS($A$2:$A$1561,A786,$B$2:$B$1561,"&gt;"&amp;B786)+1</f>
        <v>256</v>
      </c>
      <c r="F786" s="16" t="n">
        <f aca="false">IF(A786=A785,C786-C785,"")</f>
        <v>-7.53999999999996</v>
      </c>
      <c r="G786" s="16" t="n">
        <f aca="false">IF(A786=A785,IF(F786&gt;0,F786,0),"")</f>
        <v>0</v>
      </c>
      <c r="H786" s="16" t="n">
        <f aca="false">IF(A786=A785,IF(F786&lt;0,-F786,0),"")</f>
        <v>7.53999999999996</v>
      </c>
    </row>
    <row r="787" customFormat="false" ht="15" hidden="false" customHeight="false" outlineLevel="0" collapsed="false">
      <c r="A787" s="14" t="s">
        <v>98</v>
      </c>
      <c r="B787" s="15" t="n">
        <v>45881</v>
      </c>
      <c r="C787" s="14" t="n">
        <v>2334.26</v>
      </c>
      <c r="D787" s="14" t="n">
        <v>1192727</v>
      </c>
      <c r="E787" s="16" t="n">
        <f aca="false">COUNTIFS($A$2:$A$1561,A787,$B$2:$B$1561,"&gt;"&amp;B787)+1</f>
        <v>255</v>
      </c>
      <c r="F787" s="16" t="n">
        <f aca="false">IF(A787=A786,C787-C786,"")</f>
        <v>10.2200000000003</v>
      </c>
      <c r="G787" s="16" t="n">
        <f aca="false">IF(A787=A786,IF(F787&gt;0,F787,0),"")</f>
        <v>10.2200000000003</v>
      </c>
      <c r="H787" s="16" t="n">
        <f aca="false">IF(A787=A786,IF(F787&lt;0,-F787,0),"")</f>
        <v>0</v>
      </c>
    </row>
    <row r="788" customFormat="false" ht="15" hidden="false" customHeight="false" outlineLevel="0" collapsed="false">
      <c r="A788" s="14" t="s">
        <v>98</v>
      </c>
      <c r="B788" s="15" t="n">
        <v>45882</v>
      </c>
      <c r="C788" s="14" t="n">
        <v>2333.1</v>
      </c>
      <c r="D788" s="14" t="n">
        <v>1012887</v>
      </c>
      <c r="E788" s="16" t="n">
        <f aca="false">COUNTIFS($A$2:$A$1561,A788,$B$2:$B$1561,"&gt;"&amp;B788)+1</f>
        <v>254</v>
      </c>
      <c r="F788" s="16" t="n">
        <f aca="false">IF(A788=A787,C788-C787,"")</f>
        <v>-1.16000000000031</v>
      </c>
      <c r="G788" s="16" t="n">
        <f aca="false">IF(A788=A787,IF(F788&gt;0,F788,0),"")</f>
        <v>0</v>
      </c>
      <c r="H788" s="16" t="n">
        <f aca="false">IF(A788=A787,IF(F788&lt;0,-F788,0),"")</f>
        <v>1.16000000000031</v>
      </c>
    </row>
    <row r="789" customFormat="false" ht="15" hidden="false" customHeight="false" outlineLevel="0" collapsed="false">
      <c r="A789" s="14" t="s">
        <v>98</v>
      </c>
      <c r="B789" s="15" t="n">
        <v>45883</v>
      </c>
      <c r="C789" s="14" t="n">
        <v>2333.48</v>
      </c>
      <c r="D789" s="14" t="n">
        <v>904136</v>
      </c>
      <c r="E789" s="16" t="n">
        <f aca="false">COUNTIFS($A$2:$A$1561,A789,$B$2:$B$1561,"&gt;"&amp;B789)+1</f>
        <v>253</v>
      </c>
      <c r="F789" s="16" t="n">
        <f aca="false">IF(A789=A788,C789-C788,"")</f>
        <v>0.380000000000109</v>
      </c>
      <c r="G789" s="16" t="n">
        <f aca="false">IF(A789=A788,IF(F789&gt;0,F789,0),"")</f>
        <v>0.380000000000109</v>
      </c>
      <c r="H789" s="16" t="n">
        <f aca="false">IF(A789=A788,IF(F789&lt;0,-F789,0),"")</f>
        <v>0</v>
      </c>
    </row>
    <row r="790" customFormat="false" ht="15" hidden="false" customHeight="false" outlineLevel="0" collapsed="false">
      <c r="A790" s="14" t="s">
        <v>98</v>
      </c>
      <c r="B790" s="15" t="n">
        <v>45884</v>
      </c>
      <c r="C790" s="14" t="n">
        <v>2336.36</v>
      </c>
      <c r="D790" s="14" t="n">
        <v>2366047</v>
      </c>
      <c r="E790" s="16" t="n">
        <f aca="false">COUNTIFS($A$2:$A$1561,A790,$B$2:$B$1561,"&gt;"&amp;B790)+1</f>
        <v>252</v>
      </c>
      <c r="F790" s="16" t="n">
        <f aca="false">IF(A790=A789,C790-C789,"")</f>
        <v>2.88000000000011</v>
      </c>
      <c r="G790" s="16" t="n">
        <f aca="false">IF(A790=A789,IF(F790&gt;0,F790,0),"")</f>
        <v>2.88000000000011</v>
      </c>
      <c r="H790" s="16" t="n">
        <f aca="false">IF(A790=A789,IF(F790&lt;0,-F790,0),"")</f>
        <v>0</v>
      </c>
    </row>
    <row r="791" customFormat="false" ht="15" hidden="false" customHeight="false" outlineLevel="0" collapsed="false">
      <c r="A791" s="14" t="s">
        <v>98</v>
      </c>
      <c r="B791" s="15" t="n">
        <v>45887</v>
      </c>
      <c r="C791" s="14" t="n">
        <v>2345.87</v>
      </c>
      <c r="D791" s="14" t="n">
        <v>774545</v>
      </c>
      <c r="E791" s="16" t="n">
        <f aca="false">COUNTIFS($A$2:$A$1561,A791,$B$2:$B$1561,"&gt;"&amp;B791)+1</f>
        <v>251</v>
      </c>
      <c r="F791" s="16" t="n">
        <f aca="false">IF(A791=A790,C791-C790,"")</f>
        <v>9.50999999999976</v>
      </c>
      <c r="G791" s="16" t="n">
        <f aca="false">IF(A791=A790,IF(F791&gt;0,F791,0),"")</f>
        <v>9.50999999999976</v>
      </c>
      <c r="H791" s="16" t="n">
        <f aca="false">IF(A791=A790,IF(F791&lt;0,-F791,0),"")</f>
        <v>0</v>
      </c>
    </row>
    <row r="792" customFormat="false" ht="15" hidden="false" customHeight="false" outlineLevel="0" collapsed="false">
      <c r="A792" s="14" t="s">
        <v>98</v>
      </c>
      <c r="B792" s="15" t="n">
        <v>45888</v>
      </c>
      <c r="C792" s="14" t="n">
        <v>2352.02</v>
      </c>
      <c r="D792" s="14" t="n">
        <v>1673660</v>
      </c>
      <c r="E792" s="16" t="n">
        <f aca="false">COUNTIFS($A$2:$A$1561,A792,$B$2:$B$1561,"&gt;"&amp;B792)+1</f>
        <v>250</v>
      </c>
      <c r="F792" s="16" t="n">
        <f aca="false">IF(A792=A791,C792-C791,"")</f>
        <v>6.15000000000009</v>
      </c>
      <c r="G792" s="16" t="n">
        <f aca="false">IF(A792=A791,IF(F792&gt;0,F792,0),"")</f>
        <v>6.15000000000009</v>
      </c>
      <c r="H792" s="16" t="n">
        <f aca="false">IF(A792=A791,IF(F792&lt;0,-F792,0),"")</f>
        <v>0</v>
      </c>
    </row>
    <row r="793" customFormat="false" ht="15" hidden="false" customHeight="false" outlineLevel="0" collapsed="false">
      <c r="A793" s="14" t="s">
        <v>98</v>
      </c>
      <c r="B793" s="15" t="n">
        <v>45889</v>
      </c>
      <c r="C793" s="14" t="n">
        <v>2342.39</v>
      </c>
      <c r="D793" s="14" t="n">
        <v>1839667</v>
      </c>
      <c r="E793" s="16" t="n">
        <f aca="false">COUNTIFS($A$2:$A$1561,A793,$B$2:$B$1561,"&gt;"&amp;B793)+1</f>
        <v>249</v>
      </c>
      <c r="F793" s="16" t="n">
        <f aca="false">IF(A793=A792,C793-C792,"")</f>
        <v>-9.63000000000011</v>
      </c>
      <c r="G793" s="16" t="n">
        <f aca="false">IF(A793=A792,IF(F793&gt;0,F793,0),"")</f>
        <v>0</v>
      </c>
      <c r="H793" s="16" t="n">
        <f aca="false">IF(A793=A792,IF(F793&lt;0,-F793,0),"")</f>
        <v>9.63000000000011</v>
      </c>
    </row>
    <row r="794" customFormat="false" ht="15" hidden="false" customHeight="false" outlineLevel="0" collapsed="false">
      <c r="A794" s="14" t="s">
        <v>98</v>
      </c>
      <c r="B794" s="15" t="n">
        <v>45890</v>
      </c>
      <c r="C794" s="14" t="n">
        <v>2344.96</v>
      </c>
      <c r="D794" s="14" t="n">
        <v>1775889</v>
      </c>
      <c r="E794" s="16" t="n">
        <f aca="false">COUNTIFS($A$2:$A$1561,A794,$B$2:$B$1561,"&gt;"&amp;B794)+1</f>
        <v>248</v>
      </c>
      <c r="F794" s="16" t="n">
        <f aca="false">IF(A794=A793,C794-C793,"")</f>
        <v>2.57000000000016</v>
      </c>
      <c r="G794" s="16" t="n">
        <f aca="false">IF(A794=A793,IF(F794&gt;0,F794,0),"")</f>
        <v>2.57000000000016</v>
      </c>
      <c r="H794" s="16" t="n">
        <f aca="false">IF(A794=A793,IF(F794&lt;0,-F794,0),"")</f>
        <v>0</v>
      </c>
    </row>
    <row r="795" customFormat="false" ht="15" hidden="false" customHeight="false" outlineLevel="0" collapsed="false">
      <c r="A795" s="14" t="s">
        <v>98</v>
      </c>
      <c r="B795" s="15" t="n">
        <v>45891</v>
      </c>
      <c r="C795" s="14" t="n">
        <v>2327.34</v>
      </c>
      <c r="D795" s="14" t="n">
        <v>1326602</v>
      </c>
      <c r="E795" s="16" t="n">
        <f aca="false">COUNTIFS($A$2:$A$1561,A795,$B$2:$B$1561,"&gt;"&amp;B795)+1</f>
        <v>247</v>
      </c>
      <c r="F795" s="16" t="n">
        <f aca="false">IF(A795=A794,C795-C794,"")</f>
        <v>-17.6199999999999</v>
      </c>
      <c r="G795" s="16" t="n">
        <f aca="false">IF(A795=A794,IF(F795&gt;0,F795,0),"")</f>
        <v>0</v>
      </c>
      <c r="H795" s="16" t="n">
        <f aca="false">IF(A795=A794,IF(F795&lt;0,-F795,0),"")</f>
        <v>17.6199999999999</v>
      </c>
    </row>
    <row r="796" customFormat="false" ht="15" hidden="false" customHeight="false" outlineLevel="0" collapsed="false">
      <c r="A796" s="14" t="s">
        <v>98</v>
      </c>
      <c r="B796" s="15" t="n">
        <v>45894</v>
      </c>
      <c r="C796" s="14" t="n">
        <v>2337.7</v>
      </c>
      <c r="D796" s="14" t="n">
        <v>701089</v>
      </c>
      <c r="E796" s="16" t="n">
        <f aca="false">COUNTIFS($A$2:$A$1561,A796,$B$2:$B$1561,"&gt;"&amp;B796)+1</f>
        <v>246</v>
      </c>
      <c r="F796" s="16" t="n">
        <f aca="false">IF(A796=A795,C796-C795,"")</f>
        <v>10.3599999999997</v>
      </c>
      <c r="G796" s="16" t="n">
        <f aca="false">IF(A796=A795,IF(F796&gt;0,F796,0),"")</f>
        <v>10.3599999999997</v>
      </c>
      <c r="H796" s="16" t="n">
        <f aca="false">IF(A796=A795,IF(F796&lt;0,-F796,0),"")</f>
        <v>0</v>
      </c>
    </row>
    <row r="797" customFormat="false" ht="15" hidden="false" customHeight="false" outlineLevel="0" collapsed="false">
      <c r="A797" s="14" t="s">
        <v>98</v>
      </c>
      <c r="B797" s="15" t="n">
        <v>45895</v>
      </c>
      <c r="C797" s="14" t="n">
        <v>2350.36</v>
      </c>
      <c r="D797" s="14" t="n">
        <v>510362</v>
      </c>
      <c r="E797" s="16" t="n">
        <f aca="false">COUNTIFS($A$2:$A$1561,A797,$B$2:$B$1561,"&gt;"&amp;B797)+1</f>
        <v>245</v>
      </c>
      <c r="F797" s="16" t="n">
        <f aca="false">IF(A797=A796,C797-C796,"")</f>
        <v>12.6600000000003</v>
      </c>
      <c r="G797" s="16" t="n">
        <f aca="false">IF(A797=A796,IF(F797&gt;0,F797,0),"")</f>
        <v>12.6600000000003</v>
      </c>
      <c r="H797" s="16" t="n">
        <f aca="false">IF(A797=A796,IF(F797&lt;0,-F797,0),"")</f>
        <v>0</v>
      </c>
    </row>
    <row r="798" customFormat="false" ht="15" hidden="false" customHeight="false" outlineLevel="0" collapsed="false">
      <c r="A798" s="14" t="s">
        <v>98</v>
      </c>
      <c r="B798" s="15" t="n">
        <v>45896</v>
      </c>
      <c r="C798" s="14" t="n">
        <v>2353.76</v>
      </c>
      <c r="D798" s="14" t="n">
        <v>2358199</v>
      </c>
      <c r="E798" s="16" t="n">
        <f aca="false">COUNTIFS($A$2:$A$1561,A798,$B$2:$B$1561,"&gt;"&amp;B798)+1</f>
        <v>244</v>
      </c>
      <c r="F798" s="16" t="n">
        <f aca="false">IF(A798=A797,C798-C797,"")</f>
        <v>3.40000000000009</v>
      </c>
      <c r="G798" s="16" t="n">
        <f aca="false">IF(A798=A797,IF(F798&gt;0,F798,0),"")</f>
        <v>3.40000000000009</v>
      </c>
      <c r="H798" s="16" t="n">
        <f aca="false">IF(A798=A797,IF(F798&lt;0,-F798,0),"")</f>
        <v>0</v>
      </c>
    </row>
    <row r="799" customFormat="false" ht="15" hidden="false" customHeight="false" outlineLevel="0" collapsed="false">
      <c r="A799" s="14" t="s">
        <v>98</v>
      </c>
      <c r="B799" s="15" t="n">
        <v>45897</v>
      </c>
      <c r="C799" s="14" t="n">
        <v>2351.08</v>
      </c>
      <c r="D799" s="14" t="n">
        <v>2370064</v>
      </c>
      <c r="E799" s="16" t="n">
        <f aca="false">COUNTIFS($A$2:$A$1561,A799,$B$2:$B$1561,"&gt;"&amp;B799)+1</f>
        <v>243</v>
      </c>
      <c r="F799" s="16" t="n">
        <f aca="false">IF(A799=A798,C799-C798,"")</f>
        <v>-2.68000000000029</v>
      </c>
      <c r="G799" s="16" t="n">
        <f aca="false">IF(A799=A798,IF(F799&gt;0,F799,0),"")</f>
        <v>0</v>
      </c>
      <c r="H799" s="16" t="n">
        <f aca="false">IF(A799=A798,IF(F799&lt;0,-F799,0),"")</f>
        <v>2.68000000000029</v>
      </c>
    </row>
    <row r="800" customFormat="false" ht="15" hidden="false" customHeight="false" outlineLevel="0" collapsed="false">
      <c r="A800" s="14" t="s">
        <v>98</v>
      </c>
      <c r="B800" s="15" t="n">
        <v>45898</v>
      </c>
      <c r="C800" s="14" t="n">
        <v>2368.37</v>
      </c>
      <c r="D800" s="14" t="n">
        <v>1454897</v>
      </c>
      <c r="E800" s="16" t="n">
        <f aca="false">COUNTIFS($A$2:$A$1561,A800,$B$2:$B$1561,"&gt;"&amp;B800)+1</f>
        <v>242</v>
      </c>
      <c r="F800" s="16" t="n">
        <f aca="false">IF(A800=A799,C800-C799,"")</f>
        <v>17.29</v>
      </c>
      <c r="G800" s="16" t="n">
        <f aca="false">IF(A800=A799,IF(F800&gt;0,F800,0),"")</f>
        <v>17.29</v>
      </c>
      <c r="H800" s="16" t="n">
        <f aca="false">IF(A800=A799,IF(F800&lt;0,-F800,0),"")</f>
        <v>0</v>
      </c>
    </row>
    <row r="801" customFormat="false" ht="15" hidden="false" customHeight="false" outlineLevel="0" collapsed="false">
      <c r="A801" s="14" t="s">
        <v>98</v>
      </c>
      <c r="B801" s="15" t="n">
        <v>45901</v>
      </c>
      <c r="C801" s="14" t="n">
        <v>2356.83</v>
      </c>
      <c r="D801" s="14" t="n">
        <v>2427828</v>
      </c>
      <c r="E801" s="16" t="n">
        <f aca="false">COUNTIFS($A$2:$A$1561,A801,$B$2:$B$1561,"&gt;"&amp;B801)+1</f>
        <v>241</v>
      </c>
      <c r="F801" s="16" t="n">
        <f aca="false">IF(A801=A800,C801-C800,"")</f>
        <v>-11.54</v>
      </c>
      <c r="G801" s="16" t="n">
        <f aca="false">IF(A801=A800,IF(F801&gt;0,F801,0),"")</f>
        <v>0</v>
      </c>
      <c r="H801" s="16" t="n">
        <f aca="false">IF(A801=A800,IF(F801&lt;0,-F801,0),"")</f>
        <v>11.54</v>
      </c>
    </row>
    <row r="802" customFormat="false" ht="15" hidden="false" customHeight="false" outlineLevel="0" collapsed="false">
      <c r="A802" s="14" t="s">
        <v>98</v>
      </c>
      <c r="B802" s="15" t="n">
        <v>45902</v>
      </c>
      <c r="C802" s="14" t="n">
        <v>2350.52</v>
      </c>
      <c r="D802" s="14" t="n">
        <v>1791795</v>
      </c>
      <c r="E802" s="16" t="n">
        <f aca="false">COUNTIFS($A$2:$A$1561,A802,$B$2:$B$1561,"&gt;"&amp;B802)+1</f>
        <v>240</v>
      </c>
      <c r="F802" s="16" t="n">
        <f aca="false">IF(A802=A801,C802-C801,"")</f>
        <v>-6.30999999999995</v>
      </c>
      <c r="G802" s="16" t="n">
        <f aca="false">IF(A802=A801,IF(F802&gt;0,F802,0),"")</f>
        <v>0</v>
      </c>
      <c r="H802" s="16" t="n">
        <f aca="false">IF(A802=A801,IF(F802&lt;0,-F802,0),"")</f>
        <v>6.30999999999995</v>
      </c>
    </row>
    <row r="803" customFormat="false" ht="15" hidden="false" customHeight="false" outlineLevel="0" collapsed="false">
      <c r="A803" s="14" t="s">
        <v>98</v>
      </c>
      <c r="B803" s="15" t="n">
        <v>45903</v>
      </c>
      <c r="C803" s="14" t="n">
        <v>2369.05</v>
      </c>
      <c r="D803" s="14" t="n">
        <v>678921</v>
      </c>
      <c r="E803" s="16" t="n">
        <f aca="false">COUNTIFS($A$2:$A$1561,A803,$B$2:$B$1561,"&gt;"&amp;B803)+1</f>
        <v>239</v>
      </c>
      <c r="F803" s="16" t="n">
        <f aca="false">IF(A803=A802,C803-C802,"")</f>
        <v>18.5300000000002</v>
      </c>
      <c r="G803" s="16" t="n">
        <f aca="false">IF(A803=A802,IF(F803&gt;0,F803,0),"")</f>
        <v>18.5300000000002</v>
      </c>
      <c r="H803" s="16" t="n">
        <f aca="false">IF(A803=A802,IF(F803&lt;0,-F803,0),"")</f>
        <v>0</v>
      </c>
    </row>
    <row r="804" customFormat="false" ht="15" hidden="false" customHeight="false" outlineLevel="0" collapsed="false">
      <c r="A804" s="14" t="s">
        <v>98</v>
      </c>
      <c r="B804" s="15" t="n">
        <v>45904</v>
      </c>
      <c r="C804" s="14" t="n">
        <v>2373.49</v>
      </c>
      <c r="D804" s="14" t="n">
        <v>1570304</v>
      </c>
      <c r="E804" s="16" t="n">
        <f aca="false">COUNTIFS($A$2:$A$1561,A804,$B$2:$B$1561,"&gt;"&amp;B804)+1</f>
        <v>238</v>
      </c>
      <c r="F804" s="16" t="n">
        <f aca="false">IF(A804=A803,C804-C803,"")</f>
        <v>4.4399999999996</v>
      </c>
      <c r="G804" s="16" t="n">
        <f aca="false">IF(A804=A803,IF(F804&gt;0,F804,0),"")</f>
        <v>4.4399999999996</v>
      </c>
      <c r="H804" s="16" t="n">
        <f aca="false">IF(A804=A803,IF(F804&lt;0,-F804,0),"")</f>
        <v>0</v>
      </c>
    </row>
    <row r="805" customFormat="false" ht="15" hidden="false" customHeight="false" outlineLevel="0" collapsed="false">
      <c r="A805" s="14" t="s">
        <v>98</v>
      </c>
      <c r="B805" s="15" t="n">
        <v>45905</v>
      </c>
      <c r="C805" s="14" t="n">
        <v>2384.3</v>
      </c>
      <c r="D805" s="14" t="n">
        <v>2373338</v>
      </c>
      <c r="E805" s="16" t="n">
        <f aca="false">COUNTIFS($A$2:$A$1561,A805,$B$2:$B$1561,"&gt;"&amp;B805)+1</f>
        <v>237</v>
      </c>
      <c r="F805" s="16" t="n">
        <f aca="false">IF(A805=A804,C805-C804,"")</f>
        <v>10.8100000000004</v>
      </c>
      <c r="G805" s="16" t="n">
        <f aca="false">IF(A805=A804,IF(F805&gt;0,F805,0),"")</f>
        <v>10.8100000000004</v>
      </c>
      <c r="H805" s="16" t="n">
        <f aca="false">IF(A805=A804,IF(F805&lt;0,-F805,0),"")</f>
        <v>0</v>
      </c>
    </row>
    <row r="806" customFormat="false" ht="15" hidden="false" customHeight="false" outlineLevel="0" collapsed="false">
      <c r="A806" s="14" t="s">
        <v>98</v>
      </c>
      <c r="B806" s="15" t="n">
        <v>45908</v>
      </c>
      <c r="C806" s="14" t="n">
        <v>2403.33</v>
      </c>
      <c r="D806" s="14" t="n">
        <v>850129</v>
      </c>
      <c r="E806" s="16" t="n">
        <f aca="false">COUNTIFS($A$2:$A$1561,A806,$B$2:$B$1561,"&gt;"&amp;B806)+1</f>
        <v>236</v>
      </c>
      <c r="F806" s="16" t="n">
        <f aca="false">IF(A806=A805,C806-C805,"")</f>
        <v>19.0299999999997</v>
      </c>
      <c r="G806" s="16" t="n">
        <f aca="false">IF(A806=A805,IF(F806&gt;0,F806,0),"")</f>
        <v>19.0299999999997</v>
      </c>
      <c r="H806" s="16" t="n">
        <f aca="false">IF(A806=A805,IF(F806&lt;0,-F806,0),"")</f>
        <v>0</v>
      </c>
    </row>
    <row r="807" customFormat="false" ht="15" hidden="false" customHeight="false" outlineLevel="0" collapsed="false">
      <c r="A807" s="14" t="s">
        <v>98</v>
      </c>
      <c r="B807" s="15" t="n">
        <v>45909</v>
      </c>
      <c r="C807" s="14" t="n">
        <v>2421.16</v>
      </c>
      <c r="D807" s="14" t="n">
        <v>851577</v>
      </c>
      <c r="E807" s="16" t="n">
        <f aca="false">COUNTIFS($A$2:$A$1561,A807,$B$2:$B$1561,"&gt;"&amp;B807)+1</f>
        <v>235</v>
      </c>
      <c r="F807" s="16" t="n">
        <f aca="false">IF(A807=A806,C807-C806,"")</f>
        <v>17.8299999999999</v>
      </c>
      <c r="G807" s="16" t="n">
        <f aca="false">IF(A807=A806,IF(F807&gt;0,F807,0),"")</f>
        <v>17.8299999999999</v>
      </c>
      <c r="H807" s="16" t="n">
        <f aca="false">IF(A807=A806,IF(F807&lt;0,-F807,0),"")</f>
        <v>0</v>
      </c>
    </row>
    <row r="808" customFormat="false" ht="15" hidden="false" customHeight="false" outlineLevel="0" collapsed="false">
      <c r="A808" s="14" t="s">
        <v>98</v>
      </c>
      <c r="B808" s="15" t="n">
        <v>45910</v>
      </c>
      <c r="C808" s="14" t="n">
        <v>2440.75</v>
      </c>
      <c r="D808" s="14" t="n">
        <v>2494343</v>
      </c>
      <c r="E808" s="16" t="n">
        <f aca="false">COUNTIFS($A$2:$A$1561,A808,$B$2:$B$1561,"&gt;"&amp;B808)+1</f>
        <v>234</v>
      </c>
      <c r="F808" s="16" t="n">
        <f aca="false">IF(A808=A807,C808-C807,"")</f>
        <v>19.5900000000001</v>
      </c>
      <c r="G808" s="16" t="n">
        <f aca="false">IF(A808=A807,IF(F808&gt;0,F808,0),"")</f>
        <v>19.5900000000001</v>
      </c>
      <c r="H808" s="16" t="n">
        <f aca="false">IF(A808=A807,IF(F808&lt;0,-F808,0),"")</f>
        <v>0</v>
      </c>
    </row>
    <row r="809" customFormat="false" ht="15" hidden="false" customHeight="false" outlineLevel="0" collapsed="false">
      <c r="A809" s="14" t="s">
        <v>98</v>
      </c>
      <c r="B809" s="15" t="n">
        <v>45911</v>
      </c>
      <c r="C809" s="14" t="n">
        <v>2437.55</v>
      </c>
      <c r="D809" s="14" t="n">
        <v>1490767</v>
      </c>
      <c r="E809" s="16" t="n">
        <f aca="false">COUNTIFS($A$2:$A$1561,A809,$B$2:$B$1561,"&gt;"&amp;B809)+1</f>
        <v>233</v>
      </c>
      <c r="F809" s="16" t="n">
        <f aca="false">IF(A809=A808,C809-C808,"")</f>
        <v>-3.19999999999982</v>
      </c>
      <c r="G809" s="16" t="n">
        <f aca="false">IF(A809=A808,IF(F809&gt;0,F809,0),"")</f>
        <v>0</v>
      </c>
      <c r="H809" s="16" t="n">
        <f aca="false">IF(A809=A808,IF(F809&lt;0,-F809,0),"")</f>
        <v>3.19999999999982</v>
      </c>
    </row>
    <row r="810" customFormat="false" ht="15" hidden="false" customHeight="false" outlineLevel="0" collapsed="false">
      <c r="A810" s="14" t="s">
        <v>98</v>
      </c>
      <c r="B810" s="15" t="n">
        <v>45912</v>
      </c>
      <c r="C810" s="14" t="n">
        <v>2458.02</v>
      </c>
      <c r="D810" s="14" t="n">
        <v>2424262</v>
      </c>
      <c r="E810" s="16" t="n">
        <f aca="false">COUNTIFS($A$2:$A$1561,A810,$B$2:$B$1561,"&gt;"&amp;B810)+1</f>
        <v>232</v>
      </c>
      <c r="F810" s="16" t="n">
        <f aca="false">IF(A810=A809,C810-C809,"")</f>
        <v>20.4699999999998</v>
      </c>
      <c r="G810" s="16" t="n">
        <f aca="false">IF(A810=A809,IF(F810&gt;0,F810,0),"")</f>
        <v>20.4699999999998</v>
      </c>
      <c r="H810" s="16" t="n">
        <f aca="false">IF(A810=A809,IF(F810&lt;0,-F810,0),"")</f>
        <v>0</v>
      </c>
    </row>
    <row r="811" customFormat="false" ht="15" hidden="false" customHeight="false" outlineLevel="0" collapsed="false">
      <c r="A811" s="14" t="s">
        <v>98</v>
      </c>
      <c r="B811" s="15" t="n">
        <v>45915</v>
      </c>
      <c r="C811" s="14" t="n">
        <v>2478.2</v>
      </c>
      <c r="D811" s="14" t="n">
        <v>2253486</v>
      </c>
      <c r="E811" s="16" t="n">
        <f aca="false">COUNTIFS($A$2:$A$1561,A811,$B$2:$B$1561,"&gt;"&amp;B811)+1</f>
        <v>231</v>
      </c>
      <c r="F811" s="16" t="n">
        <f aca="false">IF(A811=A810,C811-C810,"")</f>
        <v>20.1799999999998</v>
      </c>
      <c r="G811" s="16" t="n">
        <f aca="false">IF(A811=A810,IF(F811&gt;0,F811,0),"")</f>
        <v>20.1799999999998</v>
      </c>
      <c r="H811" s="16" t="n">
        <f aca="false">IF(A811=A810,IF(F811&lt;0,-F811,0),"")</f>
        <v>0</v>
      </c>
    </row>
    <row r="812" customFormat="false" ht="15" hidden="false" customHeight="false" outlineLevel="0" collapsed="false">
      <c r="A812" s="14" t="s">
        <v>98</v>
      </c>
      <c r="B812" s="15" t="n">
        <v>45916</v>
      </c>
      <c r="C812" s="14" t="n">
        <v>2457.65</v>
      </c>
      <c r="D812" s="14" t="n">
        <v>1635923</v>
      </c>
      <c r="E812" s="16" t="n">
        <f aca="false">COUNTIFS($A$2:$A$1561,A812,$B$2:$B$1561,"&gt;"&amp;B812)+1</f>
        <v>230</v>
      </c>
      <c r="F812" s="16" t="n">
        <f aca="false">IF(A812=A811,C812-C811,"")</f>
        <v>-20.5499999999997</v>
      </c>
      <c r="G812" s="16" t="n">
        <f aca="false">IF(A812=A811,IF(F812&gt;0,F812,0),"")</f>
        <v>0</v>
      </c>
      <c r="H812" s="16" t="n">
        <f aca="false">IF(A812=A811,IF(F812&lt;0,-F812,0),"")</f>
        <v>20.5499999999997</v>
      </c>
    </row>
    <row r="813" customFormat="false" ht="15" hidden="false" customHeight="false" outlineLevel="0" collapsed="false">
      <c r="A813" s="14" t="s">
        <v>98</v>
      </c>
      <c r="B813" s="15" t="n">
        <v>45917</v>
      </c>
      <c r="C813" s="14" t="n">
        <v>2441.6</v>
      </c>
      <c r="D813" s="14" t="n">
        <v>2465987</v>
      </c>
      <c r="E813" s="16" t="n">
        <f aca="false">COUNTIFS($A$2:$A$1561,A813,$B$2:$B$1561,"&gt;"&amp;B813)+1</f>
        <v>229</v>
      </c>
      <c r="F813" s="16" t="n">
        <f aca="false">IF(A813=A812,C813-C812,"")</f>
        <v>-16.0500000000002</v>
      </c>
      <c r="G813" s="16" t="n">
        <f aca="false">IF(A813=A812,IF(F813&gt;0,F813,0),"")</f>
        <v>0</v>
      </c>
      <c r="H813" s="16" t="n">
        <f aca="false">IF(A813=A812,IF(F813&lt;0,-F813,0),"")</f>
        <v>16.0500000000002</v>
      </c>
    </row>
    <row r="814" customFormat="false" ht="15" hidden="false" customHeight="false" outlineLevel="0" collapsed="false">
      <c r="A814" s="14" t="s">
        <v>98</v>
      </c>
      <c r="B814" s="15" t="n">
        <v>45918</v>
      </c>
      <c r="C814" s="14" t="n">
        <v>2433.45</v>
      </c>
      <c r="D814" s="14" t="n">
        <v>2478198</v>
      </c>
      <c r="E814" s="16" t="n">
        <f aca="false">COUNTIFS($A$2:$A$1561,A814,$B$2:$B$1561,"&gt;"&amp;B814)+1</f>
        <v>228</v>
      </c>
      <c r="F814" s="16" t="n">
        <f aca="false">IF(A814=A813,C814-C813,"")</f>
        <v>-8.15000000000009</v>
      </c>
      <c r="G814" s="16" t="n">
        <f aca="false">IF(A814=A813,IF(F814&gt;0,F814,0),"")</f>
        <v>0</v>
      </c>
      <c r="H814" s="16" t="n">
        <f aca="false">IF(A814=A813,IF(F814&lt;0,-F814,0),"")</f>
        <v>8.15000000000009</v>
      </c>
    </row>
    <row r="815" customFormat="false" ht="15" hidden="false" customHeight="false" outlineLevel="0" collapsed="false">
      <c r="A815" s="14" t="s">
        <v>98</v>
      </c>
      <c r="B815" s="15" t="n">
        <v>45919</v>
      </c>
      <c r="C815" s="14" t="n">
        <v>2436.66</v>
      </c>
      <c r="D815" s="14" t="n">
        <v>1487824</v>
      </c>
      <c r="E815" s="16" t="n">
        <f aca="false">COUNTIFS($A$2:$A$1561,A815,$B$2:$B$1561,"&gt;"&amp;B815)+1</f>
        <v>227</v>
      </c>
      <c r="F815" s="16" t="n">
        <f aca="false">IF(A815=A814,C815-C814,"")</f>
        <v>3.21000000000004</v>
      </c>
      <c r="G815" s="16" t="n">
        <f aca="false">IF(A815=A814,IF(F815&gt;0,F815,0),"")</f>
        <v>3.21000000000004</v>
      </c>
      <c r="H815" s="16" t="n">
        <f aca="false">IF(A815=A814,IF(F815&lt;0,-F815,0),"")</f>
        <v>0</v>
      </c>
    </row>
    <row r="816" customFormat="false" ht="15" hidden="false" customHeight="false" outlineLevel="0" collapsed="false">
      <c r="A816" s="14" t="s">
        <v>98</v>
      </c>
      <c r="B816" s="15" t="n">
        <v>45922</v>
      </c>
      <c r="C816" s="14" t="n">
        <v>2457.21</v>
      </c>
      <c r="D816" s="14" t="n">
        <v>2202119</v>
      </c>
      <c r="E816" s="16" t="n">
        <f aca="false">COUNTIFS($A$2:$A$1561,A816,$B$2:$B$1561,"&gt;"&amp;B816)+1</f>
        <v>226</v>
      </c>
      <c r="F816" s="16" t="n">
        <f aca="false">IF(A816=A815,C816-C815,"")</f>
        <v>20.5500000000002</v>
      </c>
      <c r="G816" s="16" t="n">
        <f aca="false">IF(A816=A815,IF(F816&gt;0,F816,0),"")</f>
        <v>20.5500000000002</v>
      </c>
      <c r="H816" s="16" t="n">
        <f aca="false">IF(A816=A815,IF(F816&lt;0,-F816,0),"")</f>
        <v>0</v>
      </c>
    </row>
    <row r="817" customFormat="false" ht="15" hidden="false" customHeight="false" outlineLevel="0" collapsed="false">
      <c r="A817" s="14" t="s">
        <v>98</v>
      </c>
      <c r="B817" s="15" t="n">
        <v>45923</v>
      </c>
      <c r="C817" s="14" t="n">
        <v>2457.12</v>
      </c>
      <c r="D817" s="14" t="n">
        <v>885622</v>
      </c>
      <c r="E817" s="16" t="n">
        <f aca="false">COUNTIFS($A$2:$A$1561,A817,$B$2:$B$1561,"&gt;"&amp;B817)+1</f>
        <v>225</v>
      </c>
      <c r="F817" s="16" t="n">
        <f aca="false">IF(A817=A816,C817-C816,"")</f>
        <v>-0.0900000000001455</v>
      </c>
      <c r="G817" s="16" t="n">
        <f aca="false">IF(A817=A816,IF(F817&gt;0,F817,0),"")</f>
        <v>0</v>
      </c>
      <c r="H817" s="16" t="n">
        <f aca="false">IF(A817=A816,IF(F817&lt;0,-F817,0),"")</f>
        <v>0.0900000000001455</v>
      </c>
    </row>
    <row r="818" customFormat="false" ht="15" hidden="false" customHeight="false" outlineLevel="0" collapsed="false">
      <c r="A818" s="14" t="s">
        <v>98</v>
      </c>
      <c r="B818" s="15" t="n">
        <v>45924</v>
      </c>
      <c r="C818" s="14" t="n">
        <v>2441.32</v>
      </c>
      <c r="D818" s="14" t="n">
        <v>824988</v>
      </c>
      <c r="E818" s="16" t="n">
        <f aca="false">COUNTIFS($A$2:$A$1561,A818,$B$2:$B$1561,"&gt;"&amp;B818)+1</f>
        <v>224</v>
      </c>
      <c r="F818" s="16" t="n">
        <f aca="false">IF(A818=A817,C818-C817,"")</f>
        <v>-15.7999999999997</v>
      </c>
      <c r="G818" s="16" t="n">
        <f aca="false">IF(A818=A817,IF(F818&gt;0,F818,0),"")</f>
        <v>0</v>
      </c>
      <c r="H818" s="16" t="n">
        <f aca="false">IF(A818=A817,IF(F818&lt;0,-F818,0),"")</f>
        <v>15.7999999999997</v>
      </c>
    </row>
    <row r="819" customFormat="false" ht="15" hidden="false" customHeight="false" outlineLevel="0" collapsed="false">
      <c r="A819" s="14" t="s">
        <v>98</v>
      </c>
      <c r="B819" s="15" t="n">
        <v>45925</v>
      </c>
      <c r="C819" s="14" t="n">
        <v>2440.83</v>
      </c>
      <c r="D819" s="14" t="n">
        <v>1014529</v>
      </c>
      <c r="E819" s="16" t="n">
        <f aca="false">COUNTIFS($A$2:$A$1561,A819,$B$2:$B$1561,"&gt;"&amp;B819)+1</f>
        <v>223</v>
      </c>
      <c r="F819" s="16" t="n">
        <f aca="false">IF(A819=A818,C819-C818,"")</f>
        <v>-0.490000000000236</v>
      </c>
      <c r="G819" s="16" t="n">
        <f aca="false">IF(A819=A818,IF(F819&gt;0,F819,0),"")</f>
        <v>0</v>
      </c>
      <c r="H819" s="16" t="n">
        <f aca="false">IF(A819=A818,IF(F819&lt;0,-F819,0),"")</f>
        <v>0.490000000000236</v>
      </c>
    </row>
    <row r="820" customFormat="false" ht="15" hidden="false" customHeight="false" outlineLevel="0" collapsed="false">
      <c r="A820" s="14" t="s">
        <v>98</v>
      </c>
      <c r="B820" s="15" t="n">
        <v>45926</v>
      </c>
      <c r="C820" s="14" t="n">
        <v>2428.36</v>
      </c>
      <c r="D820" s="14" t="n">
        <v>1973235</v>
      </c>
      <c r="E820" s="16" t="n">
        <f aca="false">COUNTIFS($A$2:$A$1561,A820,$B$2:$B$1561,"&gt;"&amp;B820)+1</f>
        <v>222</v>
      </c>
      <c r="F820" s="16" t="n">
        <f aca="false">IF(A820=A819,C820-C819,"")</f>
        <v>-12.4699999999998</v>
      </c>
      <c r="G820" s="16" t="n">
        <f aca="false">IF(A820=A819,IF(F820&gt;0,F820,0),"")</f>
        <v>0</v>
      </c>
      <c r="H820" s="16" t="n">
        <f aca="false">IF(A820=A819,IF(F820&lt;0,-F820,0),"")</f>
        <v>12.4699999999998</v>
      </c>
    </row>
    <row r="821" customFormat="false" ht="15" hidden="false" customHeight="false" outlineLevel="0" collapsed="false">
      <c r="A821" s="14" t="s">
        <v>98</v>
      </c>
      <c r="B821" s="15" t="n">
        <v>45929</v>
      </c>
      <c r="C821" s="14" t="n">
        <v>2442.38</v>
      </c>
      <c r="D821" s="14" t="n">
        <v>1635562</v>
      </c>
      <c r="E821" s="16" t="n">
        <f aca="false">COUNTIFS($A$2:$A$1561,A821,$B$2:$B$1561,"&gt;"&amp;B821)+1</f>
        <v>221</v>
      </c>
      <c r="F821" s="16" t="n">
        <f aca="false">IF(A821=A820,C821-C820,"")</f>
        <v>14.02</v>
      </c>
      <c r="G821" s="16" t="n">
        <f aca="false">IF(A821=A820,IF(F821&gt;0,F821,0),"")</f>
        <v>14.02</v>
      </c>
      <c r="H821" s="16" t="n">
        <f aca="false">IF(A821=A820,IF(F821&lt;0,-F821,0),"")</f>
        <v>0</v>
      </c>
    </row>
    <row r="822" customFormat="false" ht="15" hidden="false" customHeight="false" outlineLevel="0" collapsed="false">
      <c r="A822" s="14" t="s">
        <v>98</v>
      </c>
      <c r="B822" s="15" t="n">
        <v>45930</v>
      </c>
      <c r="C822" s="14" t="n">
        <v>2455.01</v>
      </c>
      <c r="D822" s="14" t="n">
        <v>850989</v>
      </c>
      <c r="E822" s="16" t="n">
        <f aca="false">COUNTIFS($A$2:$A$1561,A822,$B$2:$B$1561,"&gt;"&amp;B822)+1</f>
        <v>220</v>
      </c>
      <c r="F822" s="16" t="n">
        <f aca="false">IF(A822=A821,C822-C821,"")</f>
        <v>12.6300000000001</v>
      </c>
      <c r="G822" s="16" t="n">
        <f aca="false">IF(A822=A821,IF(F822&gt;0,F822,0),"")</f>
        <v>12.6300000000001</v>
      </c>
      <c r="H822" s="16" t="n">
        <f aca="false">IF(A822=A821,IF(F822&lt;0,-F822,0),"")</f>
        <v>0</v>
      </c>
    </row>
    <row r="823" customFormat="false" ht="15" hidden="false" customHeight="false" outlineLevel="0" collapsed="false">
      <c r="A823" s="14" t="s">
        <v>98</v>
      </c>
      <c r="B823" s="15" t="n">
        <v>45931</v>
      </c>
      <c r="C823" s="14" t="n">
        <v>2472.08</v>
      </c>
      <c r="D823" s="14" t="n">
        <v>2294085</v>
      </c>
      <c r="E823" s="16" t="n">
        <f aca="false">COUNTIFS($A$2:$A$1561,A823,$B$2:$B$1561,"&gt;"&amp;B823)+1</f>
        <v>219</v>
      </c>
      <c r="F823" s="16" t="n">
        <f aca="false">IF(A823=A822,C823-C822,"")</f>
        <v>17.0699999999997</v>
      </c>
      <c r="G823" s="16" t="n">
        <f aca="false">IF(A823=A822,IF(F823&gt;0,F823,0),"")</f>
        <v>17.0699999999997</v>
      </c>
      <c r="H823" s="16" t="n">
        <f aca="false">IF(A823=A822,IF(F823&lt;0,-F823,0),"")</f>
        <v>0</v>
      </c>
    </row>
    <row r="824" customFormat="false" ht="15" hidden="false" customHeight="false" outlineLevel="0" collapsed="false">
      <c r="A824" s="14" t="s">
        <v>98</v>
      </c>
      <c r="B824" s="15" t="n">
        <v>45932</v>
      </c>
      <c r="C824" s="14" t="n">
        <v>2487.96</v>
      </c>
      <c r="D824" s="14" t="n">
        <v>1530561</v>
      </c>
      <c r="E824" s="16" t="n">
        <f aca="false">COUNTIFS($A$2:$A$1561,A824,$B$2:$B$1561,"&gt;"&amp;B824)+1</f>
        <v>218</v>
      </c>
      <c r="F824" s="16" t="n">
        <f aca="false">IF(A824=A823,C824-C823,"")</f>
        <v>15.8800000000001</v>
      </c>
      <c r="G824" s="16" t="n">
        <f aca="false">IF(A824=A823,IF(F824&gt;0,F824,0),"")</f>
        <v>15.8800000000001</v>
      </c>
      <c r="H824" s="16" t="n">
        <f aca="false">IF(A824=A823,IF(F824&lt;0,-F824,0),"")</f>
        <v>0</v>
      </c>
    </row>
    <row r="825" customFormat="false" ht="15" hidden="false" customHeight="false" outlineLevel="0" collapsed="false">
      <c r="A825" s="14" t="s">
        <v>98</v>
      </c>
      <c r="B825" s="15" t="n">
        <v>45933</v>
      </c>
      <c r="C825" s="14" t="n">
        <v>2470.8</v>
      </c>
      <c r="D825" s="14" t="n">
        <v>1838511</v>
      </c>
      <c r="E825" s="16" t="n">
        <f aca="false">COUNTIFS($A$2:$A$1561,A825,$B$2:$B$1561,"&gt;"&amp;B825)+1</f>
        <v>217</v>
      </c>
      <c r="F825" s="16" t="n">
        <f aca="false">IF(A825=A824,C825-C824,"")</f>
        <v>-17.1599999999999</v>
      </c>
      <c r="G825" s="16" t="n">
        <f aca="false">IF(A825=A824,IF(F825&gt;0,F825,0),"")</f>
        <v>0</v>
      </c>
      <c r="H825" s="16" t="n">
        <f aca="false">IF(A825=A824,IF(F825&lt;0,-F825,0),"")</f>
        <v>17.1599999999999</v>
      </c>
    </row>
    <row r="826" customFormat="false" ht="15" hidden="false" customHeight="false" outlineLevel="0" collapsed="false">
      <c r="A826" s="14" t="s">
        <v>98</v>
      </c>
      <c r="B826" s="15" t="n">
        <v>45936</v>
      </c>
      <c r="C826" s="14" t="n">
        <v>2458.11</v>
      </c>
      <c r="D826" s="14" t="n">
        <v>781223</v>
      </c>
      <c r="E826" s="16" t="n">
        <f aca="false">COUNTIFS($A$2:$A$1561,A826,$B$2:$B$1561,"&gt;"&amp;B826)+1</f>
        <v>216</v>
      </c>
      <c r="F826" s="16" t="n">
        <f aca="false">IF(A826=A825,C826-C825,"")</f>
        <v>-12.6900000000001</v>
      </c>
      <c r="G826" s="16" t="n">
        <f aca="false">IF(A826=A825,IF(F826&gt;0,F826,0),"")</f>
        <v>0</v>
      </c>
      <c r="H826" s="16" t="n">
        <f aca="false">IF(A826=A825,IF(F826&lt;0,-F826,0),"")</f>
        <v>12.6900000000001</v>
      </c>
    </row>
    <row r="827" customFormat="false" ht="15" hidden="false" customHeight="false" outlineLevel="0" collapsed="false">
      <c r="A827" s="14" t="s">
        <v>98</v>
      </c>
      <c r="B827" s="15" t="n">
        <v>45937</v>
      </c>
      <c r="C827" s="14" t="n">
        <v>2451.64</v>
      </c>
      <c r="D827" s="14" t="n">
        <v>996094</v>
      </c>
      <c r="E827" s="16" t="n">
        <f aca="false">COUNTIFS($A$2:$A$1561,A827,$B$2:$B$1561,"&gt;"&amp;B827)+1</f>
        <v>215</v>
      </c>
      <c r="F827" s="16" t="n">
        <f aca="false">IF(A827=A826,C827-C826,"")</f>
        <v>-6.47000000000026</v>
      </c>
      <c r="G827" s="16" t="n">
        <f aca="false">IF(A827=A826,IF(F827&gt;0,F827,0),"")</f>
        <v>0</v>
      </c>
      <c r="H827" s="16" t="n">
        <f aca="false">IF(A827=A826,IF(F827&lt;0,-F827,0),"")</f>
        <v>6.47000000000026</v>
      </c>
    </row>
    <row r="828" customFormat="false" ht="15" hidden="false" customHeight="false" outlineLevel="0" collapsed="false">
      <c r="A828" s="14" t="s">
        <v>98</v>
      </c>
      <c r="B828" s="15" t="n">
        <v>45938</v>
      </c>
      <c r="C828" s="14" t="n">
        <v>2442.4</v>
      </c>
      <c r="D828" s="14" t="n">
        <v>971042</v>
      </c>
      <c r="E828" s="16" t="n">
        <f aca="false">COUNTIFS($A$2:$A$1561,A828,$B$2:$B$1561,"&gt;"&amp;B828)+1</f>
        <v>214</v>
      </c>
      <c r="F828" s="16" t="n">
        <f aca="false">IF(A828=A827,C828-C827,"")</f>
        <v>-9.23999999999978</v>
      </c>
      <c r="G828" s="16" t="n">
        <f aca="false">IF(A828=A827,IF(F828&gt;0,F828,0),"")</f>
        <v>0</v>
      </c>
      <c r="H828" s="16" t="n">
        <f aca="false">IF(A828=A827,IF(F828&lt;0,-F828,0),"")</f>
        <v>9.23999999999978</v>
      </c>
    </row>
    <row r="829" customFormat="false" ht="15" hidden="false" customHeight="false" outlineLevel="0" collapsed="false">
      <c r="A829" s="14" t="s">
        <v>98</v>
      </c>
      <c r="B829" s="15" t="n">
        <v>45939</v>
      </c>
      <c r="C829" s="14" t="n">
        <v>2454.88</v>
      </c>
      <c r="D829" s="14" t="n">
        <v>2408069</v>
      </c>
      <c r="E829" s="16" t="n">
        <f aca="false">COUNTIFS($A$2:$A$1561,A829,$B$2:$B$1561,"&gt;"&amp;B829)+1</f>
        <v>213</v>
      </c>
      <c r="F829" s="16" t="n">
        <f aca="false">IF(A829=A828,C829-C828,"")</f>
        <v>12.48</v>
      </c>
      <c r="G829" s="16" t="n">
        <f aca="false">IF(A829=A828,IF(F829&gt;0,F829,0),"")</f>
        <v>12.48</v>
      </c>
      <c r="H829" s="16" t="n">
        <f aca="false">IF(A829=A828,IF(F829&lt;0,-F829,0),"")</f>
        <v>0</v>
      </c>
    </row>
    <row r="830" customFormat="false" ht="15" hidden="false" customHeight="false" outlineLevel="0" collapsed="false">
      <c r="A830" s="14" t="s">
        <v>98</v>
      </c>
      <c r="B830" s="15" t="n">
        <v>45940</v>
      </c>
      <c r="C830" s="14" t="n">
        <v>2447.45</v>
      </c>
      <c r="D830" s="14" t="n">
        <v>1945765</v>
      </c>
      <c r="E830" s="16" t="n">
        <f aca="false">COUNTIFS($A$2:$A$1561,A830,$B$2:$B$1561,"&gt;"&amp;B830)+1</f>
        <v>212</v>
      </c>
      <c r="F830" s="16" t="n">
        <f aca="false">IF(A830=A829,C830-C829,"")</f>
        <v>-7.43000000000029</v>
      </c>
      <c r="G830" s="16" t="n">
        <f aca="false">IF(A830=A829,IF(F830&gt;0,F830,0),"")</f>
        <v>0</v>
      </c>
      <c r="H830" s="16" t="n">
        <f aca="false">IF(A830=A829,IF(F830&lt;0,-F830,0),"")</f>
        <v>7.43000000000029</v>
      </c>
    </row>
    <row r="831" customFormat="false" ht="15" hidden="false" customHeight="false" outlineLevel="0" collapsed="false">
      <c r="A831" s="14" t="s">
        <v>98</v>
      </c>
      <c r="B831" s="15" t="n">
        <v>45943</v>
      </c>
      <c r="C831" s="14" t="n">
        <v>2427.25</v>
      </c>
      <c r="D831" s="14" t="n">
        <v>1807366</v>
      </c>
      <c r="E831" s="16" t="n">
        <f aca="false">COUNTIFS($A$2:$A$1561,A831,$B$2:$B$1561,"&gt;"&amp;B831)+1</f>
        <v>211</v>
      </c>
      <c r="F831" s="16" t="n">
        <f aca="false">IF(A831=A830,C831-C830,"")</f>
        <v>-20.1999999999998</v>
      </c>
      <c r="G831" s="16" t="n">
        <f aca="false">IF(A831=A830,IF(F831&gt;0,F831,0),"")</f>
        <v>0</v>
      </c>
      <c r="H831" s="16" t="n">
        <f aca="false">IF(A831=A830,IF(F831&lt;0,-F831,0),"")</f>
        <v>20.1999999999998</v>
      </c>
    </row>
    <row r="832" customFormat="false" ht="15" hidden="false" customHeight="false" outlineLevel="0" collapsed="false">
      <c r="A832" s="14" t="s">
        <v>98</v>
      </c>
      <c r="B832" s="15" t="n">
        <v>45944</v>
      </c>
      <c r="C832" s="14" t="n">
        <v>2436.98</v>
      </c>
      <c r="D832" s="14" t="n">
        <v>624248</v>
      </c>
      <c r="E832" s="16" t="n">
        <f aca="false">COUNTIFS($A$2:$A$1561,A832,$B$2:$B$1561,"&gt;"&amp;B832)+1</f>
        <v>210</v>
      </c>
      <c r="F832" s="16" t="n">
        <f aca="false">IF(A832=A831,C832-C831,"")</f>
        <v>9.73000000000002</v>
      </c>
      <c r="G832" s="16" t="n">
        <f aca="false">IF(A832=A831,IF(F832&gt;0,F832,0),"")</f>
        <v>9.73000000000002</v>
      </c>
      <c r="H832" s="16" t="n">
        <f aca="false">IF(A832=A831,IF(F832&lt;0,-F832,0),"")</f>
        <v>0</v>
      </c>
    </row>
    <row r="833" customFormat="false" ht="15" hidden="false" customHeight="false" outlineLevel="0" collapsed="false">
      <c r="A833" s="14" t="s">
        <v>98</v>
      </c>
      <c r="B833" s="15" t="n">
        <v>45945</v>
      </c>
      <c r="C833" s="14" t="n">
        <v>2421.55</v>
      </c>
      <c r="D833" s="14" t="n">
        <v>1113612</v>
      </c>
      <c r="E833" s="16" t="n">
        <f aca="false">COUNTIFS($A$2:$A$1561,A833,$B$2:$B$1561,"&gt;"&amp;B833)+1</f>
        <v>209</v>
      </c>
      <c r="F833" s="16" t="n">
        <f aca="false">IF(A833=A832,C833-C832,"")</f>
        <v>-15.4299999999998</v>
      </c>
      <c r="G833" s="16" t="n">
        <f aca="false">IF(A833=A832,IF(F833&gt;0,F833,0),"")</f>
        <v>0</v>
      </c>
      <c r="H833" s="16" t="n">
        <f aca="false">IF(A833=A832,IF(F833&lt;0,-F833,0),"")</f>
        <v>15.4299999999998</v>
      </c>
    </row>
    <row r="834" customFormat="false" ht="15" hidden="false" customHeight="false" outlineLevel="0" collapsed="false">
      <c r="A834" s="14" t="s">
        <v>98</v>
      </c>
      <c r="B834" s="15" t="n">
        <v>45946</v>
      </c>
      <c r="C834" s="14" t="n">
        <v>2418.74</v>
      </c>
      <c r="D834" s="14" t="n">
        <v>1505040</v>
      </c>
      <c r="E834" s="16" t="n">
        <f aca="false">COUNTIFS($A$2:$A$1561,A834,$B$2:$B$1561,"&gt;"&amp;B834)+1</f>
        <v>208</v>
      </c>
      <c r="F834" s="16" t="n">
        <f aca="false">IF(A834=A833,C834-C833,"")</f>
        <v>-2.8100000000004</v>
      </c>
      <c r="G834" s="16" t="n">
        <f aca="false">IF(A834=A833,IF(F834&gt;0,F834,0),"")</f>
        <v>0</v>
      </c>
      <c r="H834" s="16" t="n">
        <f aca="false">IF(A834=A833,IF(F834&lt;0,-F834,0),"")</f>
        <v>2.8100000000004</v>
      </c>
    </row>
    <row r="835" customFormat="false" ht="15" hidden="false" customHeight="false" outlineLevel="0" collapsed="false">
      <c r="A835" s="14" t="s">
        <v>98</v>
      </c>
      <c r="B835" s="15" t="n">
        <v>45947</v>
      </c>
      <c r="C835" s="14" t="n">
        <v>2437.25</v>
      </c>
      <c r="D835" s="14" t="n">
        <v>1907114</v>
      </c>
      <c r="E835" s="16" t="n">
        <f aca="false">COUNTIFS($A$2:$A$1561,A835,$B$2:$B$1561,"&gt;"&amp;B835)+1</f>
        <v>207</v>
      </c>
      <c r="F835" s="16" t="n">
        <f aca="false">IF(A835=A834,C835-C834,"")</f>
        <v>18.5100000000002</v>
      </c>
      <c r="G835" s="16" t="n">
        <f aca="false">IF(A835=A834,IF(F835&gt;0,F835,0),"")</f>
        <v>18.5100000000002</v>
      </c>
      <c r="H835" s="16" t="n">
        <f aca="false">IF(A835=A834,IF(F835&lt;0,-F835,0),"")</f>
        <v>0</v>
      </c>
    </row>
    <row r="836" customFormat="false" ht="15" hidden="false" customHeight="false" outlineLevel="0" collapsed="false">
      <c r="A836" s="14" t="s">
        <v>98</v>
      </c>
      <c r="B836" s="15" t="n">
        <v>45950</v>
      </c>
      <c r="C836" s="14" t="n">
        <v>2430.27</v>
      </c>
      <c r="D836" s="14" t="n">
        <v>734831</v>
      </c>
      <c r="E836" s="16" t="n">
        <f aca="false">COUNTIFS($A$2:$A$1561,A836,$B$2:$B$1561,"&gt;"&amp;B836)+1</f>
        <v>206</v>
      </c>
      <c r="F836" s="16" t="n">
        <f aca="false">IF(A836=A835,C836-C835,"")</f>
        <v>-6.98000000000002</v>
      </c>
      <c r="G836" s="16" t="n">
        <f aca="false">IF(A836=A835,IF(F836&gt;0,F836,0),"")</f>
        <v>0</v>
      </c>
      <c r="H836" s="16" t="n">
        <f aca="false">IF(A836=A835,IF(F836&lt;0,-F836,0),"")</f>
        <v>6.98000000000002</v>
      </c>
    </row>
    <row r="837" customFormat="false" ht="15" hidden="false" customHeight="false" outlineLevel="0" collapsed="false">
      <c r="A837" s="14" t="s">
        <v>98</v>
      </c>
      <c r="B837" s="15" t="n">
        <v>45951</v>
      </c>
      <c r="C837" s="14" t="n">
        <v>2449.79</v>
      </c>
      <c r="D837" s="14" t="n">
        <v>1090075</v>
      </c>
      <c r="E837" s="16" t="n">
        <f aca="false">COUNTIFS($A$2:$A$1561,A837,$B$2:$B$1561,"&gt;"&amp;B837)+1</f>
        <v>205</v>
      </c>
      <c r="F837" s="16" t="n">
        <f aca="false">IF(A837=A836,C837-C836,"")</f>
        <v>19.52</v>
      </c>
      <c r="G837" s="16" t="n">
        <f aca="false">IF(A837=A836,IF(F837&gt;0,F837,0),"")</f>
        <v>19.52</v>
      </c>
      <c r="H837" s="16" t="n">
        <f aca="false">IF(A837=A836,IF(F837&lt;0,-F837,0),"")</f>
        <v>0</v>
      </c>
    </row>
    <row r="838" customFormat="false" ht="15" hidden="false" customHeight="false" outlineLevel="0" collapsed="false">
      <c r="A838" s="14" t="s">
        <v>98</v>
      </c>
      <c r="B838" s="15" t="n">
        <v>45952</v>
      </c>
      <c r="C838" s="14" t="n">
        <v>2456.16</v>
      </c>
      <c r="D838" s="14" t="n">
        <v>938257</v>
      </c>
      <c r="E838" s="16" t="n">
        <f aca="false">COUNTIFS($A$2:$A$1561,A838,$B$2:$B$1561,"&gt;"&amp;B838)+1</f>
        <v>204</v>
      </c>
      <c r="F838" s="16" t="n">
        <f aca="false">IF(A838=A837,C838-C837,"")</f>
        <v>6.36999999999989</v>
      </c>
      <c r="G838" s="16" t="n">
        <f aca="false">IF(A838=A837,IF(F838&gt;0,F838,0),"")</f>
        <v>6.36999999999989</v>
      </c>
      <c r="H838" s="16" t="n">
        <f aca="false">IF(A838=A837,IF(F838&lt;0,-F838,0),"")</f>
        <v>0</v>
      </c>
    </row>
    <row r="839" customFormat="false" ht="15" hidden="false" customHeight="false" outlineLevel="0" collapsed="false">
      <c r="A839" s="14" t="s">
        <v>98</v>
      </c>
      <c r="B839" s="15" t="n">
        <v>45953</v>
      </c>
      <c r="C839" s="14" t="n">
        <v>2441.29</v>
      </c>
      <c r="D839" s="14" t="n">
        <v>806371</v>
      </c>
      <c r="E839" s="16" t="n">
        <f aca="false">COUNTIFS($A$2:$A$1561,A839,$B$2:$B$1561,"&gt;"&amp;B839)+1</f>
        <v>203</v>
      </c>
      <c r="F839" s="16" t="n">
        <f aca="false">IF(A839=A838,C839-C838,"")</f>
        <v>-14.8699999999999</v>
      </c>
      <c r="G839" s="16" t="n">
        <f aca="false">IF(A839=A838,IF(F839&gt;0,F839,0),"")</f>
        <v>0</v>
      </c>
      <c r="H839" s="16" t="n">
        <f aca="false">IF(A839=A838,IF(F839&lt;0,-F839,0),"")</f>
        <v>14.8699999999999</v>
      </c>
    </row>
    <row r="840" customFormat="false" ht="15" hidden="false" customHeight="false" outlineLevel="0" collapsed="false">
      <c r="A840" s="14" t="s">
        <v>98</v>
      </c>
      <c r="B840" s="15" t="n">
        <v>45954</v>
      </c>
      <c r="C840" s="14" t="n">
        <v>2453.49</v>
      </c>
      <c r="D840" s="14" t="n">
        <v>1711477</v>
      </c>
      <c r="E840" s="16" t="n">
        <f aca="false">COUNTIFS($A$2:$A$1561,A840,$B$2:$B$1561,"&gt;"&amp;B840)+1</f>
        <v>202</v>
      </c>
      <c r="F840" s="16" t="n">
        <f aca="false">IF(A840=A839,C840-C839,"")</f>
        <v>12.1999999999998</v>
      </c>
      <c r="G840" s="16" t="n">
        <f aca="false">IF(A840=A839,IF(F840&gt;0,F840,0),"")</f>
        <v>12.1999999999998</v>
      </c>
      <c r="H840" s="16" t="n">
        <f aca="false">IF(A840=A839,IF(F840&lt;0,-F840,0),"")</f>
        <v>0</v>
      </c>
    </row>
    <row r="841" customFormat="false" ht="15" hidden="false" customHeight="false" outlineLevel="0" collapsed="false">
      <c r="A841" s="14" t="s">
        <v>98</v>
      </c>
      <c r="B841" s="15" t="n">
        <v>45957</v>
      </c>
      <c r="C841" s="14" t="n">
        <v>2451.1</v>
      </c>
      <c r="D841" s="14" t="n">
        <v>1598469</v>
      </c>
      <c r="E841" s="16" t="n">
        <f aca="false">COUNTIFS($A$2:$A$1561,A841,$B$2:$B$1561,"&gt;"&amp;B841)+1</f>
        <v>201</v>
      </c>
      <c r="F841" s="16" t="n">
        <f aca="false">IF(A841=A840,C841-C840,"")</f>
        <v>-2.38999999999987</v>
      </c>
      <c r="G841" s="16" t="n">
        <f aca="false">IF(A841=A840,IF(F841&gt;0,F841,0),"")</f>
        <v>0</v>
      </c>
      <c r="H841" s="16" t="n">
        <f aca="false">IF(A841=A840,IF(F841&lt;0,-F841,0),"")</f>
        <v>2.38999999999987</v>
      </c>
    </row>
    <row r="842" customFormat="false" ht="15" hidden="false" customHeight="false" outlineLevel="0" collapsed="false">
      <c r="A842" s="14" t="s">
        <v>98</v>
      </c>
      <c r="B842" s="15" t="n">
        <v>45958</v>
      </c>
      <c r="C842" s="14" t="n">
        <v>2451.14</v>
      </c>
      <c r="D842" s="14" t="n">
        <v>1575035</v>
      </c>
      <c r="E842" s="16" t="n">
        <f aca="false">COUNTIFS($A$2:$A$1561,A842,$B$2:$B$1561,"&gt;"&amp;B842)+1</f>
        <v>200</v>
      </c>
      <c r="F842" s="16" t="n">
        <f aca="false">IF(A842=A841,C842-C841,"")</f>
        <v>0.0399999999999636</v>
      </c>
      <c r="G842" s="16" t="n">
        <f aca="false">IF(A842=A841,IF(F842&gt;0,F842,0),"")</f>
        <v>0.0399999999999636</v>
      </c>
      <c r="H842" s="16" t="n">
        <f aca="false">IF(A842=A841,IF(F842&lt;0,-F842,0),"")</f>
        <v>0</v>
      </c>
    </row>
    <row r="843" customFormat="false" ht="15" hidden="false" customHeight="false" outlineLevel="0" collapsed="false">
      <c r="A843" s="14" t="s">
        <v>98</v>
      </c>
      <c r="B843" s="15" t="n">
        <v>45959</v>
      </c>
      <c r="C843" s="14" t="n">
        <v>2459.7</v>
      </c>
      <c r="D843" s="14" t="n">
        <v>936823</v>
      </c>
      <c r="E843" s="16" t="n">
        <f aca="false">COUNTIFS($A$2:$A$1561,A843,$B$2:$B$1561,"&gt;"&amp;B843)+1</f>
        <v>199</v>
      </c>
      <c r="F843" s="16" t="n">
        <f aca="false">IF(A843=A842,C843-C842,"")</f>
        <v>8.55999999999995</v>
      </c>
      <c r="G843" s="16" t="n">
        <f aca="false">IF(A843=A842,IF(F843&gt;0,F843,0),"")</f>
        <v>8.55999999999995</v>
      </c>
      <c r="H843" s="16" t="n">
        <f aca="false">IF(A843=A842,IF(F843&lt;0,-F843,0),"")</f>
        <v>0</v>
      </c>
    </row>
    <row r="844" customFormat="false" ht="15" hidden="false" customHeight="false" outlineLevel="0" collapsed="false">
      <c r="A844" s="14" t="s">
        <v>98</v>
      </c>
      <c r="B844" s="15" t="n">
        <v>45960</v>
      </c>
      <c r="C844" s="14" t="n">
        <v>2449.85</v>
      </c>
      <c r="D844" s="14" t="n">
        <v>2009479</v>
      </c>
      <c r="E844" s="16" t="n">
        <f aca="false">COUNTIFS($A$2:$A$1561,A844,$B$2:$B$1561,"&gt;"&amp;B844)+1</f>
        <v>198</v>
      </c>
      <c r="F844" s="16" t="n">
        <f aca="false">IF(A844=A843,C844-C843,"")</f>
        <v>-9.84999999999991</v>
      </c>
      <c r="G844" s="16" t="n">
        <f aca="false">IF(A844=A843,IF(F844&gt;0,F844,0),"")</f>
        <v>0</v>
      </c>
      <c r="H844" s="16" t="n">
        <f aca="false">IF(A844=A843,IF(F844&lt;0,-F844,0),"")</f>
        <v>9.84999999999991</v>
      </c>
    </row>
    <row r="845" customFormat="false" ht="15" hidden="false" customHeight="false" outlineLevel="0" collapsed="false">
      <c r="A845" s="14" t="s">
        <v>98</v>
      </c>
      <c r="B845" s="15" t="n">
        <v>45961</v>
      </c>
      <c r="C845" s="14" t="n">
        <v>2467.63</v>
      </c>
      <c r="D845" s="14" t="n">
        <v>663740</v>
      </c>
      <c r="E845" s="16" t="n">
        <f aca="false">COUNTIFS($A$2:$A$1561,A845,$B$2:$B$1561,"&gt;"&amp;B845)+1</f>
        <v>197</v>
      </c>
      <c r="F845" s="16" t="n">
        <f aca="false">IF(A845=A844,C845-C844,"")</f>
        <v>17.7800000000002</v>
      </c>
      <c r="G845" s="16" t="n">
        <f aca="false">IF(A845=A844,IF(F845&gt;0,F845,0),"")</f>
        <v>17.7800000000002</v>
      </c>
      <c r="H845" s="16" t="n">
        <f aca="false">IF(A845=A844,IF(F845&lt;0,-F845,0),"")</f>
        <v>0</v>
      </c>
    </row>
    <row r="846" customFormat="false" ht="15" hidden="false" customHeight="false" outlineLevel="0" collapsed="false">
      <c r="A846" s="14" t="s">
        <v>98</v>
      </c>
      <c r="B846" s="15" t="n">
        <v>45964</v>
      </c>
      <c r="C846" s="14" t="n">
        <v>2466.59</v>
      </c>
      <c r="D846" s="14" t="n">
        <v>1907532</v>
      </c>
      <c r="E846" s="16" t="n">
        <f aca="false">COUNTIFS($A$2:$A$1561,A846,$B$2:$B$1561,"&gt;"&amp;B846)+1</f>
        <v>196</v>
      </c>
      <c r="F846" s="16" t="n">
        <f aca="false">IF(A846=A845,C846-C845,"")</f>
        <v>-1.03999999999996</v>
      </c>
      <c r="G846" s="16" t="n">
        <f aca="false">IF(A846=A845,IF(F846&gt;0,F846,0),"")</f>
        <v>0</v>
      </c>
      <c r="H846" s="16" t="n">
        <f aca="false">IF(A846=A845,IF(F846&lt;0,-F846,0),"")</f>
        <v>1.03999999999996</v>
      </c>
    </row>
    <row r="847" customFormat="false" ht="15" hidden="false" customHeight="false" outlineLevel="0" collapsed="false">
      <c r="A847" s="14" t="s">
        <v>98</v>
      </c>
      <c r="B847" s="15" t="n">
        <v>45965</v>
      </c>
      <c r="C847" s="14" t="n">
        <v>2449.2</v>
      </c>
      <c r="D847" s="14" t="n">
        <v>1628337</v>
      </c>
      <c r="E847" s="16" t="n">
        <f aca="false">COUNTIFS($A$2:$A$1561,A847,$B$2:$B$1561,"&gt;"&amp;B847)+1</f>
        <v>195</v>
      </c>
      <c r="F847" s="16" t="n">
        <f aca="false">IF(A847=A846,C847-C846,"")</f>
        <v>-17.3900000000003</v>
      </c>
      <c r="G847" s="16" t="n">
        <f aca="false">IF(A847=A846,IF(F847&gt;0,F847,0),"")</f>
        <v>0</v>
      </c>
      <c r="H847" s="16" t="n">
        <f aca="false">IF(A847=A846,IF(F847&lt;0,-F847,0),"")</f>
        <v>17.3900000000003</v>
      </c>
    </row>
    <row r="848" customFormat="false" ht="15" hidden="false" customHeight="false" outlineLevel="0" collapsed="false">
      <c r="A848" s="14" t="s">
        <v>98</v>
      </c>
      <c r="B848" s="15" t="n">
        <v>45966</v>
      </c>
      <c r="C848" s="14" t="n">
        <v>2431.2</v>
      </c>
      <c r="D848" s="14" t="n">
        <v>1595298</v>
      </c>
      <c r="E848" s="16" t="n">
        <f aca="false">COUNTIFS($A$2:$A$1561,A848,$B$2:$B$1561,"&gt;"&amp;B848)+1</f>
        <v>194</v>
      </c>
      <c r="F848" s="16" t="n">
        <f aca="false">IF(A848=A847,C848-C847,"")</f>
        <v>-18</v>
      </c>
      <c r="G848" s="16" t="n">
        <f aca="false">IF(A848=A847,IF(F848&gt;0,F848,0),"")</f>
        <v>0</v>
      </c>
      <c r="H848" s="16" t="n">
        <f aca="false">IF(A848=A847,IF(F848&lt;0,-F848,0),"")</f>
        <v>18</v>
      </c>
    </row>
    <row r="849" customFormat="false" ht="15" hidden="false" customHeight="false" outlineLevel="0" collapsed="false">
      <c r="A849" s="14" t="s">
        <v>98</v>
      </c>
      <c r="B849" s="15" t="n">
        <v>45967</v>
      </c>
      <c r="C849" s="14" t="n">
        <v>2432.75</v>
      </c>
      <c r="D849" s="14" t="n">
        <v>1645403</v>
      </c>
      <c r="E849" s="16" t="n">
        <f aca="false">COUNTIFS($A$2:$A$1561,A849,$B$2:$B$1561,"&gt;"&amp;B849)+1</f>
        <v>193</v>
      </c>
      <c r="F849" s="16" t="n">
        <f aca="false">IF(A849=A848,C849-C848,"")</f>
        <v>1.55000000000018</v>
      </c>
      <c r="G849" s="16" t="n">
        <f aca="false">IF(A849=A848,IF(F849&gt;0,F849,0),"")</f>
        <v>1.55000000000018</v>
      </c>
      <c r="H849" s="16" t="n">
        <f aca="false">IF(A849=A848,IF(F849&lt;0,-F849,0),"")</f>
        <v>0</v>
      </c>
    </row>
    <row r="850" customFormat="false" ht="15" hidden="false" customHeight="false" outlineLevel="0" collapsed="false">
      <c r="A850" s="14" t="s">
        <v>98</v>
      </c>
      <c r="B850" s="15" t="n">
        <v>45968</v>
      </c>
      <c r="C850" s="14" t="n">
        <v>2418.73</v>
      </c>
      <c r="D850" s="14" t="n">
        <v>1156235</v>
      </c>
      <c r="E850" s="16" t="n">
        <f aca="false">COUNTIFS($A$2:$A$1561,A850,$B$2:$B$1561,"&gt;"&amp;B850)+1</f>
        <v>192</v>
      </c>
      <c r="F850" s="16" t="n">
        <f aca="false">IF(A850=A849,C850-C849,"")</f>
        <v>-14.02</v>
      </c>
      <c r="G850" s="16" t="n">
        <f aca="false">IF(A850=A849,IF(F850&gt;0,F850,0),"")</f>
        <v>0</v>
      </c>
      <c r="H850" s="16" t="n">
        <f aca="false">IF(A850=A849,IF(F850&lt;0,-F850,0),"")</f>
        <v>14.02</v>
      </c>
    </row>
    <row r="851" customFormat="false" ht="15" hidden="false" customHeight="false" outlineLevel="0" collapsed="false">
      <c r="A851" s="14" t="s">
        <v>98</v>
      </c>
      <c r="B851" s="15" t="n">
        <v>45971</v>
      </c>
      <c r="C851" s="14" t="n">
        <v>2420.92</v>
      </c>
      <c r="D851" s="14" t="n">
        <v>732480</v>
      </c>
      <c r="E851" s="16" t="n">
        <f aca="false">COUNTIFS($A$2:$A$1561,A851,$B$2:$B$1561,"&gt;"&amp;B851)+1</f>
        <v>191</v>
      </c>
      <c r="F851" s="16" t="n">
        <f aca="false">IF(A851=A850,C851-C850,"")</f>
        <v>2.19000000000005</v>
      </c>
      <c r="G851" s="16" t="n">
        <f aca="false">IF(A851=A850,IF(F851&gt;0,F851,0),"")</f>
        <v>2.19000000000005</v>
      </c>
      <c r="H851" s="16" t="n">
        <f aca="false">IF(A851=A850,IF(F851&lt;0,-F851,0),"")</f>
        <v>0</v>
      </c>
    </row>
    <row r="852" customFormat="false" ht="15" hidden="false" customHeight="false" outlineLevel="0" collapsed="false">
      <c r="A852" s="14" t="s">
        <v>98</v>
      </c>
      <c r="B852" s="15" t="n">
        <v>45972</v>
      </c>
      <c r="C852" s="14" t="n">
        <v>2409.39</v>
      </c>
      <c r="D852" s="14" t="n">
        <v>1666295</v>
      </c>
      <c r="E852" s="16" t="n">
        <f aca="false">COUNTIFS($A$2:$A$1561,A852,$B$2:$B$1561,"&gt;"&amp;B852)+1</f>
        <v>190</v>
      </c>
      <c r="F852" s="16" t="n">
        <f aca="false">IF(A852=A851,C852-C851,"")</f>
        <v>-11.5300000000002</v>
      </c>
      <c r="G852" s="16" t="n">
        <f aca="false">IF(A852=A851,IF(F852&gt;0,F852,0),"")</f>
        <v>0</v>
      </c>
      <c r="H852" s="16" t="n">
        <f aca="false">IF(A852=A851,IF(F852&lt;0,-F852,0),"")</f>
        <v>11.5300000000002</v>
      </c>
    </row>
    <row r="853" customFormat="false" ht="15" hidden="false" customHeight="false" outlineLevel="0" collapsed="false">
      <c r="A853" s="14" t="s">
        <v>98</v>
      </c>
      <c r="B853" s="15" t="n">
        <v>45973</v>
      </c>
      <c r="C853" s="14" t="n">
        <v>2392.95</v>
      </c>
      <c r="D853" s="14" t="n">
        <v>1520750</v>
      </c>
      <c r="E853" s="16" t="n">
        <f aca="false">COUNTIFS($A$2:$A$1561,A853,$B$2:$B$1561,"&gt;"&amp;B853)+1</f>
        <v>189</v>
      </c>
      <c r="F853" s="16" t="n">
        <f aca="false">IF(A853=A852,C853-C852,"")</f>
        <v>-16.4400000000001</v>
      </c>
      <c r="G853" s="16" t="n">
        <f aca="false">IF(A853=A852,IF(F853&gt;0,F853,0),"")</f>
        <v>0</v>
      </c>
      <c r="H853" s="16" t="n">
        <f aca="false">IF(A853=A852,IF(F853&lt;0,-F853,0),"")</f>
        <v>16.4400000000001</v>
      </c>
    </row>
    <row r="854" customFormat="false" ht="15" hidden="false" customHeight="false" outlineLevel="0" collapsed="false">
      <c r="A854" s="14" t="s">
        <v>98</v>
      </c>
      <c r="B854" s="15" t="n">
        <v>45974</v>
      </c>
      <c r="C854" s="14" t="n">
        <v>2407.54</v>
      </c>
      <c r="D854" s="14" t="n">
        <v>1406864</v>
      </c>
      <c r="E854" s="16" t="n">
        <f aca="false">COUNTIFS($A$2:$A$1561,A854,$B$2:$B$1561,"&gt;"&amp;B854)+1</f>
        <v>188</v>
      </c>
      <c r="F854" s="16" t="n">
        <f aca="false">IF(A854=A853,C854-C853,"")</f>
        <v>14.5900000000001</v>
      </c>
      <c r="G854" s="16" t="n">
        <f aca="false">IF(A854=A853,IF(F854&gt;0,F854,0),"")</f>
        <v>14.5900000000001</v>
      </c>
      <c r="H854" s="16" t="n">
        <f aca="false">IF(A854=A853,IF(F854&lt;0,-F854,0),"")</f>
        <v>0</v>
      </c>
    </row>
    <row r="855" customFormat="false" ht="15" hidden="false" customHeight="false" outlineLevel="0" collapsed="false">
      <c r="A855" s="14" t="s">
        <v>98</v>
      </c>
      <c r="B855" s="15" t="n">
        <v>45975</v>
      </c>
      <c r="C855" s="14" t="n">
        <v>2409.42</v>
      </c>
      <c r="D855" s="14" t="n">
        <v>1413596</v>
      </c>
      <c r="E855" s="16" t="n">
        <f aca="false">COUNTIFS($A$2:$A$1561,A855,$B$2:$B$1561,"&gt;"&amp;B855)+1</f>
        <v>187</v>
      </c>
      <c r="F855" s="16" t="n">
        <f aca="false">IF(A855=A854,C855-C854,"")</f>
        <v>1.88000000000011</v>
      </c>
      <c r="G855" s="16" t="n">
        <f aca="false">IF(A855=A854,IF(F855&gt;0,F855,0),"")</f>
        <v>1.88000000000011</v>
      </c>
      <c r="H855" s="16" t="n">
        <f aca="false">IF(A855=A854,IF(F855&lt;0,-F855,0),"")</f>
        <v>0</v>
      </c>
    </row>
    <row r="856" customFormat="false" ht="15" hidden="false" customHeight="false" outlineLevel="0" collapsed="false">
      <c r="A856" s="14" t="s">
        <v>98</v>
      </c>
      <c r="B856" s="15" t="n">
        <v>45978</v>
      </c>
      <c r="C856" s="14" t="n">
        <v>2391.54</v>
      </c>
      <c r="D856" s="14" t="n">
        <v>1424756</v>
      </c>
      <c r="E856" s="16" t="n">
        <f aca="false">COUNTIFS($A$2:$A$1561,A856,$B$2:$B$1561,"&gt;"&amp;B856)+1</f>
        <v>186</v>
      </c>
      <c r="F856" s="16" t="n">
        <f aca="false">IF(A856=A855,C856-C855,"")</f>
        <v>-17.8800000000001</v>
      </c>
      <c r="G856" s="16" t="n">
        <f aca="false">IF(A856=A855,IF(F856&gt;0,F856,0),"")</f>
        <v>0</v>
      </c>
      <c r="H856" s="16" t="n">
        <f aca="false">IF(A856=A855,IF(F856&lt;0,-F856,0),"")</f>
        <v>17.8800000000001</v>
      </c>
    </row>
    <row r="857" customFormat="false" ht="15" hidden="false" customHeight="false" outlineLevel="0" collapsed="false">
      <c r="A857" s="14" t="s">
        <v>98</v>
      </c>
      <c r="B857" s="15" t="n">
        <v>45979</v>
      </c>
      <c r="C857" s="14" t="n">
        <v>2406.04</v>
      </c>
      <c r="D857" s="14" t="n">
        <v>1946560</v>
      </c>
      <c r="E857" s="16" t="n">
        <f aca="false">COUNTIFS($A$2:$A$1561,A857,$B$2:$B$1561,"&gt;"&amp;B857)+1</f>
        <v>185</v>
      </c>
      <c r="F857" s="16" t="n">
        <f aca="false">IF(A857=A856,C857-C856,"")</f>
        <v>14.5</v>
      </c>
      <c r="G857" s="16" t="n">
        <f aca="false">IF(A857=A856,IF(F857&gt;0,F857,0),"")</f>
        <v>14.5</v>
      </c>
      <c r="H857" s="16" t="n">
        <f aca="false">IF(A857=A856,IF(F857&lt;0,-F857,0),"")</f>
        <v>0</v>
      </c>
    </row>
    <row r="858" customFormat="false" ht="15" hidden="false" customHeight="false" outlineLevel="0" collapsed="false">
      <c r="A858" s="14" t="s">
        <v>98</v>
      </c>
      <c r="B858" s="15" t="n">
        <v>45980</v>
      </c>
      <c r="C858" s="14" t="n">
        <v>2402.83</v>
      </c>
      <c r="D858" s="14" t="n">
        <v>2132906</v>
      </c>
      <c r="E858" s="16" t="n">
        <f aca="false">COUNTIFS($A$2:$A$1561,A858,$B$2:$B$1561,"&gt;"&amp;B858)+1</f>
        <v>184</v>
      </c>
      <c r="F858" s="16" t="n">
        <f aca="false">IF(A858=A857,C858-C857,"")</f>
        <v>-3.21000000000004</v>
      </c>
      <c r="G858" s="16" t="n">
        <f aca="false">IF(A858=A857,IF(F858&gt;0,F858,0),"")</f>
        <v>0</v>
      </c>
      <c r="H858" s="16" t="n">
        <f aca="false">IF(A858=A857,IF(F858&lt;0,-F858,0),"")</f>
        <v>3.21000000000004</v>
      </c>
    </row>
    <row r="859" customFormat="false" ht="15" hidden="false" customHeight="false" outlineLevel="0" collapsed="false">
      <c r="A859" s="14" t="s">
        <v>98</v>
      </c>
      <c r="B859" s="15" t="n">
        <v>45981</v>
      </c>
      <c r="C859" s="14" t="n">
        <v>2414.76</v>
      </c>
      <c r="D859" s="14" t="n">
        <v>1656622</v>
      </c>
      <c r="E859" s="16" t="n">
        <f aca="false">COUNTIFS($A$2:$A$1561,A859,$B$2:$B$1561,"&gt;"&amp;B859)+1</f>
        <v>183</v>
      </c>
      <c r="F859" s="16" t="n">
        <f aca="false">IF(A859=A858,C859-C858,"")</f>
        <v>11.9300000000003</v>
      </c>
      <c r="G859" s="16" t="n">
        <f aca="false">IF(A859=A858,IF(F859&gt;0,F859,0),"")</f>
        <v>11.9300000000003</v>
      </c>
      <c r="H859" s="16" t="n">
        <f aca="false">IF(A859=A858,IF(F859&lt;0,-F859,0),"")</f>
        <v>0</v>
      </c>
    </row>
    <row r="860" customFormat="false" ht="15" hidden="false" customHeight="false" outlineLevel="0" collapsed="false">
      <c r="A860" s="14" t="s">
        <v>98</v>
      </c>
      <c r="B860" s="15" t="n">
        <v>45982</v>
      </c>
      <c r="C860" s="14" t="n">
        <v>2396.3</v>
      </c>
      <c r="D860" s="14" t="n">
        <v>1189057</v>
      </c>
      <c r="E860" s="16" t="n">
        <f aca="false">COUNTIFS($A$2:$A$1561,A860,$B$2:$B$1561,"&gt;"&amp;B860)+1</f>
        <v>182</v>
      </c>
      <c r="F860" s="16" t="n">
        <f aca="false">IF(A860=A859,C860-C859,"")</f>
        <v>-18.46</v>
      </c>
      <c r="G860" s="16" t="n">
        <f aca="false">IF(A860=A859,IF(F860&gt;0,F860,0),"")</f>
        <v>0</v>
      </c>
      <c r="H860" s="16" t="n">
        <f aca="false">IF(A860=A859,IF(F860&lt;0,-F860,0),"")</f>
        <v>18.46</v>
      </c>
    </row>
    <row r="861" customFormat="false" ht="15" hidden="false" customHeight="false" outlineLevel="0" collapsed="false">
      <c r="A861" s="14" t="s">
        <v>98</v>
      </c>
      <c r="B861" s="15" t="n">
        <v>45985</v>
      </c>
      <c r="C861" s="14" t="n">
        <v>2378.78</v>
      </c>
      <c r="D861" s="14" t="n">
        <v>2488247</v>
      </c>
      <c r="E861" s="16" t="n">
        <f aca="false">COUNTIFS($A$2:$A$1561,A861,$B$2:$B$1561,"&gt;"&amp;B861)+1</f>
        <v>181</v>
      </c>
      <c r="F861" s="16" t="n">
        <f aca="false">IF(A861=A860,C861-C860,"")</f>
        <v>-17.52</v>
      </c>
      <c r="G861" s="16" t="n">
        <f aca="false">IF(A861=A860,IF(F861&gt;0,F861,0),"")</f>
        <v>0</v>
      </c>
      <c r="H861" s="16" t="n">
        <f aca="false">IF(A861=A860,IF(F861&lt;0,-F861,0),"")</f>
        <v>17.52</v>
      </c>
    </row>
    <row r="862" customFormat="false" ht="15" hidden="false" customHeight="false" outlineLevel="0" collapsed="false">
      <c r="A862" s="14" t="s">
        <v>98</v>
      </c>
      <c r="B862" s="15" t="n">
        <v>45986</v>
      </c>
      <c r="C862" s="14" t="n">
        <v>2398.67</v>
      </c>
      <c r="D862" s="14" t="n">
        <v>638038</v>
      </c>
      <c r="E862" s="16" t="n">
        <f aca="false">COUNTIFS($A$2:$A$1561,A862,$B$2:$B$1561,"&gt;"&amp;B862)+1</f>
        <v>180</v>
      </c>
      <c r="F862" s="16" t="n">
        <f aca="false">IF(A862=A861,C862-C861,"")</f>
        <v>19.8899999999999</v>
      </c>
      <c r="G862" s="16" t="n">
        <f aca="false">IF(A862=A861,IF(F862&gt;0,F862,0),"")</f>
        <v>19.8899999999999</v>
      </c>
      <c r="H862" s="16" t="n">
        <f aca="false">IF(A862=A861,IF(F862&lt;0,-F862,0),"")</f>
        <v>0</v>
      </c>
    </row>
    <row r="863" customFormat="false" ht="15" hidden="false" customHeight="false" outlineLevel="0" collapsed="false">
      <c r="A863" s="14" t="s">
        <v>98</v>
      </c>
      <c r="B863" s="15" t="n">
        <v>45987</v>
      </c>
      <c r="C863" s="14" t="n">
        <v>2418.7</v>
      </c>
      <c r="D863" s="14" t="n">
        <v>563469</v>
      </c>
      <c r="E863" s="16" t="n">
        <f aca="false">COUNTIFS($A$2:$A$1561,A863,$B$2:$B$1561,"&gt;"&amp;B863)+1</f>
        <v>179</v>
      </c>
      <c r="F863" s="16" t="n">
        <f aca="false">IF(A863=A862,C863-C862,"")</f>
        <v>20.0299999999997</v>
      </c>
      <c r="G863" s="16" t="n">
        <f aca="false">IF(A863=A862,IF(F863&gt;0,F863,0),"")</f>
        <v>20.0299999999997</v>
      </c>
      <c r="H863" s="16" t="n">
        <f aca="false">IF(A863=A862,IF(F863&lt;0,-F863,0),"")</f>
        <v>0</v>
      </c>
    </row>
    <row r="864" customFormat="false" ht="15" hidden="false" customHeight="false" outlineLevel="0" collapsed="false">
      <c r="A864" s="14" t="s">
        <v>98</v>
      </c>
      <c r="B864" s="15" t="n">
        <v>45988</v>
      </c>
      <c r="C864" s="14" t="n">
        <v>2416.03</v>
      </c>
      <c r="D864" s="14" t="n">
        <v>2037944</v>
      </c>
      <c r="E864" s="16" t="n">
        <f aca="false">COUNTIFS($A$2:$A$1561,A864,$B$2:$B$1561,"&gt;"&amp;B864)+1</f>
        <v>178</v>
      </c>
      <c r="F864" s="16" t="n">
        <f aca="false">IF(A864=A863,C864-C863,"")</f>
        <v>-2.66999999999962</v>
      </c>
      <c r="G864" s="16" t="n">
        <f aca="false">IF(A864=A863,IF(F864&gt;0,F864,0),"")</f>
        <v>0</v>
      </c>
      <c r="H864" s="16" t="n">
        <f aca="false">IF(A864=A863,IF(F864&lt;0,-F864,0),"")</f>
        <v>2.66999999999962</v>
      </c>
    </row>
    <row r="865" customFormat="false" ht="15" hidden="false" customHeight="false" outlineLevel="0" collapsed="false">
      <c r="A865" s="14" t="s">
        <v>98</v>
      </c>
      <c r="B865" s="15" t="n">
        <v>45989</v>
      </c>
      <c r="C865" s="14" t="n">
        <v>2428.9</v>
      </c>
      <c r="D865" s="14" t="n">
        <v>2456666</v>
      </c>
      <c r="E865" s="16" t="n">
        <f aca="false">COUNTIFS($A$2:$A$1561,A865,$B$2:$B$1561,"&gt;"&amp;B865)+1</f>
        <v>177</v>
      </c>
      <c r="F865" s="16" t="n">
        <f aca="false">IF(A865=A864,C865-C864,"")</f>
        <v>12.8699999999999</v>
      </c>
      <c r="G865" s="16" t="n">
        <f aca="false">IF(A865=A864,IF(F865&gt;0,F865,0),"")</f>
        <v>12.8699999999999</v>
      </c>
      <c r="H865" s="16" t="n">
        <f aca="false">IF(A865=A864,IF(F865&lt;0,-F865,0),"")</f>
        <v>0</v>
      </c>
    </row>
    <row r="866" customFormat="false" ht="15" hidden="false" customHeight="false" outlineLevel="0" collapsed="false">
      <c r="A866" s="14" t="s">
        <v>98</v>
      </c>
      <c r="B866" s="15" t="n">
        <v>45992</v>
      </c>
      <c r="C866" s="14" t="n">
        <v>2436.59</v>
      </c>
      <c r="D866" s="14" t="n">
        <v>1340723</v>
      </c>
      <c r="E866" s="16" t="n">
        <f aca="false">COUNTIFS($A$2:$A$1561,A866,$B$2:$B$1561,"&gt;"&amp;B866)+1</f>
        <v>176</v>
      </c>
      <c r="F866" s="16" t="n">
        <f aca="false">IF(A866=A865,C866-C865,"")</f>
        <v>7.69000000000006</v>
      </c>
      <c r="G866" s="16" t="n">
        <f aca="false">IF(A866=A865,IF(F866&gt;0,F866,0),"")</f>
        <v>7.69000000000006</v>
      </c>
      <c r="H866" s="16" t="n">
        <f aca="false">IF(A866=A865,IF(F866&lt;0,-F866,0),"")</f>
        <v>0</v>
      </c>
    </row>
    <row r="867" customFormat="false" ht="15" hidden="false" customHeight="false" outlineLevel="0" collapsed="false">
      <c r="A867" s="14" t="s">
        <v>98</v>
      </c>
      <c r="B867" s="15" t="n">
        <v>45993</v>
      </c>
      <c r="C867" s="14" t="n">
        <v>2459.52</v>
      </c>
      <c r="D867" s="14" t="n">
        <v>1264959</v>
      </c>
      <c r="E867" s="16" t="n">
        <f aca="false">COUNTIFS($A$2:$A$1561,A867,$B$2:$B$1561,"&gt;"&amp;B867)+1</f>
        <v>175</v>
      </c>
      <c r="F867" s="16" t="n">
        <f aca="false">IF(A867=A866,C867-C866,"")</f>
        <v>22.9299999999998</v>
      </c>
      <c r="G867" s="16" t="n">
        <f aca="false">IF(A867=A866,IF(F867&gt;0,F867,0),"")</f>
        <v>22.9299999999998</v>
      </c>
      <c r="H867" s="16" t="n">
        <f aca="false">IF(A867=A866,IF(F867&lt;0,-F867,0),"")</f>
        <v>0</v>
      </c>
    </row>
    <row r="868" customFormat="false" ht="15" hidden="false" customHeight="false" outlineLevel="0" collapsed="false">
      <c r="A868" s="14" t="s">
        <v>98</v>
      </c>
      <c r="B868" s="15" t="n">
        <v>45994</v>
      </c>
      <c r="C868" s="14" t="n">
        <v>2477.21</v>
      </c>
      <c r="D868" s="14" t="n">
        <v>2313534</v>
      </c>
      <c r="E868" s="16" t="n">
        <f aca="false">COUNTIFS($A$2:$A$1561,A868,$B$2:$B$1561,"&gt;"&amp;B868)+1</f>
        <v>174</v>
      </c>
      <c r="F868" s="16" t="n">
        <f aca="false">IF(A868=A867,C868-C867,"")</f>
        <v>17.6900000000001</v>
      </c>
      <c r="G868" s="16" t="n">
        <f aca="false">IF(A868=A867,IF(F868&gt;0,F868,0),"")</f>
        <v>17.6900000000001</v>
      </c>
      <c r="H868" s="16" t="n">
        <f aca="false">IF(A868=A867,IF(F868&lt;0,-F868,0),"")</f>
        <v>0</v>
      </c>
    </row>
    <row r="869" customFormat="false" ht="15" hidden="false" customHeight="false" outlineLevel="0" collapsed="false">
      <c r="A869" s="14" t="s">
        <v>98</v>
      </c>
      <c r="B869" s="15" t="n">
        <v>45995</v>
      </c>
      <c r="C869" s="14" t="n">
        <v>2473</v>
      </c>
      <c r="D869" s="14" t="n">
        <v>1865460</v>
      </c>
      <c r="E869" s="16" t="n">
        <f aca="false">COUNTIFS($A$2:$A$1561,A869,$B$2:$B$1561,"&gt;"&amp;B869)+1</f>
        <v>173</v>
      </c>
      <c r="F869" s="16" t="n">
        <f aca="false">IF(A869=A868,C869-C868,"")</f>
        <v>-4.21000000000004</v>
      </c>
      <c r="G869" s="16" t="n">
        <f aca="false">IF(A869=A868,IF(F869&gt;0,F869,0),"")</f>
        <v>0</v>
      </c>
      <c r="H869" s="16" t="n">
        <f aca="false">IF(A869=A868,IF(F869&lt;0,-F869,0),"")</f>
        <v>4.21000000000004</v>
      </c>
    </row>
    <row r="870" customFormat="false" ht="15" hidden="false" customHeight="false" outlineLevel="0" collapsed="false">
      <c r="A870" s="14" t="s">
        <v>98</v>
      </c>
      <c r="B870" s="15" t="n">
        <v>45996</v>
      </c>
      <c r="C870" s="14" t="n">
        <v>2481.54</v>
      </c>
      <c r="D870" s="14" t="n">
        <v>1578600</v>
      </c>
      <c r="E870" s="16" t="n">
        <f aca="false">COUNTIFS($A$2:$A$1561,A870,$B$2:$B$1561,"&gt;"&amp;B870)+1</f>
        <v>172</v>
      </c>
      <c r="F870" s="16" t="n">
        <f aca="false">IF(A870=A869,C870-C869,"")</f>
        <v>8.53999999999996</v>
      </c>
      <c r="G870" s="16" t="n">
        <f aca="false">IF(A870=A869,IF(F870&gt;0,F870,0),"")</f>
        <v>8.53999999999996</v>
      </c>
      <c r="H870" s="16" t="n">
        <f aca="false">IF(A870=A869,IF(F870&lt;0,-F870,0),"")</f>
        <v>0</v>
      </c>
    </row>
    <row r="871" customFormat="false" ht="15" hidden="false" customHeight="false" outlineLevel="0" collapsed="false">
      <c r="A871" s="14" t="s">
        <v>98</v>
      </c>
      <c r="B871" s="15" t="n">
        <v>45999</v>
      </c>
      <c r="C871" s="14" t="n">
        <v>2489.74</v>
      </c>
      <c r="D871" s="14" t="n">
        <v>1195539</v>
      </c>
      <c r="E871" s="16" t="n">
        <f aca="false">COUNTIFS($A$2:$A$1561,A871,$B$2:$B$1561,"&gt;"&amp;B871)+1</f>
        <v>171</v>
      </c>
      <c r="F871" s="16" t="n">
        <f aca="false">IF(A871=A870,C871-C870,"")</f>
        <v>8.19999999999982</v>
      </c>
      <c r="G871" s="16" t="n">
        <f aca="false">IF(A871=A870,IF(F871&gt;0,F871,0),"")</f>
        <v>8.19999999999982</v>
      </c>
      <c r="H871" s="16" t="n">
        <f aca="false">IF(A871=A870,IF(F871&lt;0,-F871,0),"")</f>
        <v>0</v>
      </c>
    </row>
    <row r="872" customFormat="false" ht="15" hidden="false" customHeight="false" outlineLevel="0" collapsed="false">
      <c r="A872" s="14" t="s">
        <v>98</v>
      </c>
      <c r="B872" s="15" t="n">
        <v>46000</v>
      </c>
      <c r="C872" s="14" t="n">
        <v>2476.68</v>
      </c>
      <c r="D872" s="14" t="n">
        <v>1574516</v>
      </c>
      <c r="E872" s="16" t="n">
        <f aca="false">COUNTIFS($A$2:$A$1561,A872,$B$2:$B$1561,"&gt;"&amp;B872)+1</f>
        <v>170</v>
      </c>
      <c r="F872" s="16" t="n">
        <f aca="false">IF(A872=A871,C872-C871,"")</f>
        <v>-13.0599999999999</v>
      </c>
      <c r="G872" s="16" t="n">
        <f aca="false">IF(A872=A871,IF(F872&gt;0,F872,0),"")</f>
        <v>0</v>
      </c>
      <c r="H872" s="16" t="n">
        <f aca="false">IF(A872=A871,IF(F872&lt;0,-F872,0),"")</f>
        <v>13.0599999999999</v>
      </c>
    </row>
    <row r="873" customFormat="false" ht="15" hidden="false" customHeight="false" outlineLevel="0" collapsed="false">
      <c r="A873" s="14" t="s">
        <v>98</v>
      </c>
      <c r="B873" s="15" t="n">
        <v>46001</v>
      </c>
      <c r="C873" s="14" t="n">
        <v>2479.3</v>
      </c>
      <c r="D873" s="14" t="n">
        <v>1955716</v>
      </c>
      <c r="E873" s="16" t="n">
        <f aca="false">COUNTIFS($A$2:$A$1561,A873,$B$2:$B$1561,"&gt;"&amp;B873)+1</f>
        <v>169</v>
      </c>
      <c r="F873" s="16" t="n">
        <f aca="false">IF(A873=A872,C873-C872,"")</f>
        <v>2.62000000000035</v>
      </c>
      <c r="G873" s="16" t="n">
        <f aca="false">IF(A873=A872,IF(F873&gt;0,F873,0),"")</f>
        <v>2.62000000000035</v>
      </c>
      <c r="H873" s="16" t="n">
        <f aca="false">IF(A873=A872,IF(F873&lt;0,-F873,0),"")</f>
        <v>0</v>
      </c>
    </row>
    <row r="874" customFormat="false" ht="15" hidden="false" customHeight="false" outlineLevel="0" collapsed="false">
      <c r="A874" s="14" t="s">
        <v>98</v>
      </c>
      <c r="B874" s="15" t="n">
        <v>46002</v>
      </c>
      <c r="C874" s="14" t="n">
        <v>2468.26</v>
      </c>
      <c r="D874" s="14" t="n">
        <v>506946</v>
      </c>
      <c r="E874" s="16" t="n">
        <f aca="false">COUNTIFS($A$2:$A$1561,A874,$B$2:$B$1561,"&gt;"&amp;B874)+1</f>
        <v>168</v>
      </c>
      <c r="F874" s="16" t="n">
        <f aca="false">IF(A874=A873,C874-C873,"")</f>
        <v>-11.04</v>
      </c>
      <c r="G874" s="16" t="n">
        <f aca="false">IF(A874=A873,IF(F874&gt;0,F874,0),"")</f>
        <v>0</v>
      </c>
      <c r="H874" s="16" t="n">
        <f aca="false">IF(A874=A873,IF(F874&lt;0,-F874,0),"")</f>
        <v>11.04</v>
      </c>
    </row>
    <row r="875" customFormat="false" ht="15" hidden="false" customHeight="false" outlineLevel="0" collapsed="false">
      <c r="A875" s="14" t="s">
        <v>98</v>
      </c>
      <c r="B875" s="15" t="n">
        <v>46003</v>
      </c>
      <c r="C875" s="14" t="n">
        <v>2448.39</v>
      </c>
      <c r="D875" s="14" t="n">
        <v>1096725</v>
      </c>
      <c r="E875" s="16" t="n">
        <f aca="false">COUNTIFS($A$2:$A$1561,A875,$B$2:$B$1561,"&gt;"&amp;B875)+1</f>
        <v>167</v>
      </c>
      <c r="F875" s="16" t="n">
        <f aca="false">IF(A875=A874,C875-C874,"")</f>
        <v>-19.8700000000003</v>
      </c>
      <c r="G875" s="16" t="n">
        <f aca="false">IF(A875=A874,IF(F875&gt;0,F875,0),"")</f>
        <v>0</v>
      </c>
      <c r="H875" s="16" t="n">
        <f aca="false">IF(A875=A874,IF(F875&lt;0,-F875,0),"")</f>
        <v>19.8700000000003</v>
      </c>
    </row>
    <row r="876" customFormat="false" ht="15" hidden="false" customHeight="false" outlineLevel="0" collapsed="false">
      <c r="A876" s="14" t="s">
        <v>98</v>
      </c>
      <c r="B876" s="15" t="n">
        <v>46006</v>
      </c>
      <c r="C876" s="14" t="n">
        <v>2457.36</v>
      </c>
      <c r="D876" s="14" t="n">
        <v>1588890</v>
      </c>
      <c r="E876" s="16" t="n">
        <f aca="false">COUNTIFS($A$2:$A$1561,A876,$B$2:$B$1561,"&gt;"&amp;B876)+1</f>
        <v>166</v>
      </c>
      <c r="F876" s="16" t="n">
        <f aca="false">IF(A876=A875,C876-C875,"")</f>
        <v>8.97000000000026</v>
      </c>
      <c r="G876" s="16" t="n">
        <f aca="false">IF(A876=A875,IF(F876&gt;0,F876,0),"")</f>
        <v>8.97000000000026</v>
      </c>
      <c r="H876" s="16" t="n">
        <f aca="false">IF(A876=A875,IF(F876&lt;0,-F876,0),"")</f>
        <v>0</v>
      </c>
    </row>
    <row r="877" customFormat="false" ht="15" hidden="false" customHeight="false" outlineLevel="0" collapsed="false">
      <c r="A877" s="14" t="s">
        <v>98</v>
      </c>
      <c r="B877" s="15" t="n">
        <v>46007</v>
      </c>
      <c r="C877" s="14" t="n">
        <v>2460.1</v>
      </c>
      <c r="D877" s="14" t="n">
        <v>2146720</v>
      </c>
      <c r="E877" s="16" t="n">
        <f aca="false">COUNTIFS($A$2:$A$1561,A877,$B$2:$B$1561,"&gt;"&amp;B877)+1</f>
        <v>165</v>
      </c>
      <c r="F877" s="16" t="n">
        <f aca="false">IF(A877=A876,C877-C876,"")</f>
        <v>2.73999999999978</v>
      </c>
      <c r="G877" s="16" t="n">
        <f aca="false">IF(A877=A876,IF(F877&gt;0,F877,0),"")</f>
        <v>2.73999999999978</v>
      </c>
      <c r="H877" s="16" t="n">
        <f aca="false">IF(A877=A876,IF(F877&lt;0,-F877,0),"")</f>
        <v>0</v>
      </c>
    </row>
    <row r="878" customFormat="false" ht="15" hidden="false" customHeight="false" outlineLevel="0" collapsed="false">
      <c r="A878" s="14" t="s">
        <v>98</v>
      </c>
      <c r="B878" s="15" t="n">
        <v>46008</v>
      </c>
      <c r="C878" s="14" t="n">
        <v>2450.25</v>
      </c>
      <c r="D878" s="14" t="n">
        <v>1192319</v>
      </c>
      <c r="E878" s="16" t="n">
        <f aca="false">COUNTIFS($A$2:$A$1561,A878,$B$2:$B$1561,"&gt;"&amp;B878)+1</f>
        <v>164</v>
      </c>
      <c r="F878" s="16" t="n">
        <f aca="false">IF(A878=A877,C878-C877,"")</f>
        <v>-9.84999999999991</v>
      </c>
      <c r="G878" s="16" t="n">
        <f aca="false">IF(A878=A877,IF(F878&gt;0,F878,0),"")</f>
        <v>0</v>
      </c>
      <c r="H878" s="16" t="n">
        <f aca="false">IF(A878=A877,IF(F878&lt;0,-F878,0),"")</f>
        <v>9.84999999999991</v>
      </c>
    </row>
    <row r="879" customFormat="false" ht="15" hidden="false" customHeight="false" outlineLevel="0" collapsed="false">
      <c r="A879" s="14" t="s">
        <v>98</v>
      </c>
      <c r="B879" s="15" t="n">
        <v>46009</v>
      </c>
      <c r="C879" s="14" t="n">
        <v>2441.67</v>
      </c>
      <c r="D879" s="14" t="n">
        <v>2374820</v>
      </c>
      <c r="E879" s="16" t="n">
        <f aca="false">COUNTIFS($A$2:$A$1561,A879,$B$2:$B$1561,"&gt;"&amp;B879)+1</f>
        <v>163</v>
      </c>
      <c r="F879" s="16" t="n">
        <f aca="false">IF(A879=A878,C879-C878,"")</f>
        <v>-8.57999999999993</v>
      </c>
      <c r="G879" s="16" t="n">
        <f aca="false">IF(A879=A878,IF(F879&gt;0,F879,0),"")</f>
        <v>0</v>
      </c>
      <c r="H879" s="16" t="n">
        <f aca="false">IF(A879=A878,IF(F879&lt;0,-F879,0),"")</f>
        <v>8.57999999999993</v>
      </c>
    </row>
    <row r="880" customFormat="false" ht="15" hidden="false" customHeight="false" outlineLevel="0" collapsed="false">
      <c r="A880" s="14" t="s">
        <v>98</v>
      </c>
      <c r="B880" s="15" t="n">
        <v>46010</v>
      </c>
      <c r="C880" s="14" t="n">
        <v>2452.88</v>
      </c>
      <c r="D880" s="14" t="n">
        <v>725689</v>
      </c>
      <c r="E880" s="16" t="n">
        <f aca="false">COUNTIFS($A$2:$A$1561,A880,$B$2:$B$1561,"&gt;"&amp;B880)+1</f>
        <v>162</v>
      </c>
      <c r="F880" s="16" t="n">
        <f aca="false">IF(A880=A879,C880-C879,"")</f>
        <v>11.21</v>
      </c>
      <c r="G880" s="16" t="n">
        <f aca="false">IF(A880=A879,IF(F880&gt;0,F880,0),"")</f>
        <v>11.21</v>
      </c>
      <c r="H880" s="16" t="n">
        <f aca="false">IF(A880=A879,IF(F880&lt;0,-F880,0),"")</f>
        <v>0</v>
      </c>
    </row>
    <row r="881" customFormat="false" ht="15" hidden="false" customHeight="false" outlineLevel="0" collapsed="false">
      <c r="A881" s="14" t="s">
        <v>98</v>
      </c>
      <c r="B881" s="15" t="n">
        <v>46013</v>
      </c>
      <c r="C881" s="14" t="n">
        <v>2467.87</v>
      </c>
      <c r="D881" s="14" t="n">
        <v>1338481</v>
      </c>
      <c r="E881" s="16" t="n">
        <f aca="false">COUNTIFS($A$2:$A$1561,A881,$B$2:$B$1561,"&gt;"&amp;B881)+1</f>
        <v>161</v>
      </c>
      <c r="F881" s="16" t="n">
        <f aca="false">IF(A881=A880,C881-C880,"")</f>
        <v>14.9899999999998</v>
      </c>
      <c r="G881" s="16" t="n">
        <f aca="false">IF(A881=A880,IF(F881&gt;0,F881,0),"")</f>
        <v>14.9899999999998</v>
      </c>
      <c r="H881" s="16" t="n">
        <f aca="false">IF(A881=A880,IF(F881&lt;0,-F881,0),"")</f>
        <v>0</v>
      </c>
    </row>
    <row r="882" customFormat="false" ht="15" hidden="false" customHeight="false" outlineLevel="0" collapsed="false">
      <c r="A882" s="14" t="s">
        <v>98</v>
      </c>
      <c r="B882" s="15" t="n">
        <v>46014</v>
      </c>
      <c r="C882" s="14" t="n">
        <v>2481.02</v>
      </c>
      <c r="D882" s="14" t="n">
        <v>2267513</v>
      </c>
      <c r="E882" s="16" t="n">
        <f aca="false">COUNTIFS($A$2:$A$1561,A882,$B$2:$B$1561,"&gt;"&amp;B882)+1</f>
        <v>160</v>
      </c>
      <c r="F882" s="16" t="n">
        <f aca="false">IF(A882=A881,C882-C881,"")</f>
        <v>13.1500000000001</v>
      </c>
      <c r="G882" s="16" t="n">
        <f aca="false">IF(A882=A881,IF(F882&gt;0,F882,0),"")</f>
        <v>13.1500000000001</v>
      </c>
      <c r="H882" s="16" t="n">
        <f aca="false">IF(A882=A881,IF(F882&lt;0,-F882,0),"")</f>
        <v>0</v>
      </c>
    </row>
    <row r="883" customFormat="false" ht="15" hidden="false" customHeight="false" outlineLevel="0" collapsed="false">
      <c r="A883" s="14" t="s">
        <v>98</v>
      </c>
      <c r="B883" s="15" t="n">
        <v>46015</v>
      </c>
      <c r="C883" s="14" t="n">
        <v>2460.73</v>
      </c>
      <c r="D883" s="14" t="n">
        <v>912163</v>
      </c>
      <c r="E883" s="16" t="n">
        <f aca="false">COUNTIFS($A$2:$A$1561,A883,$B$2:$B$1561,"&gt;"&amp;B883)+1</f>
        <v>159</v>
      </c>
      <c r="F883" s="16" t="n">
        <f aca="false">IF(A883=A882,C883-C882,"")</f>
        <v>-20.29</v>
      </c>
      <c r="G883" s="16" t="n">
        <f aca="false">IF(A883=A882,IF(F883&gt;0,F883,0),"")</f>
        <v>0</v>
      </c>
      <c r="H883" s="16" t="n">
        <f aca="false">IF(A883=A882,IF(F883&lt;0,-F883,0),"")</f>
        <v>20.29</v>
      </c>
    </row>
    <row r="884" customFormat="false" ht="15" hidden="false" customHeight="false" outlineLevel="0" collapsed="false">
      <c r="A884" s="14" t="s">
        <v>98</v>
      </c>
      <c r="B884" s="15" t="n">
        <v>46016</v>
      </c>
      <c r="C884" s="14" t="n">
        <v>2444.38</v>
      </c>
      <c r="D884" s="14" t="n">
        <v>567152</v>
      </c>
      <c r="E884" s="16" t="n">
        <f aca="false">COUNTIFS($A$2:$A$1561,A884,$B$2:$B$1561,"&gt;"&amp;B884)+1</f>
        <v>158</v>
      </c>
      <c r="F884" s="16" t="n">
        <f aca="false">IF(A884=A883,C884-C883,"")</f>
        <v>-16.3499999999999</v>
      </c>
      <c r="G884" s="16" t="n">
        <f aca="false">IF(A884=A883,IF(F884&gt;0,F884,0),"")</f>
        <v>0</v>
      </c>
      <c r="H884" s="16" t="n">
        <f aca="false">IF(A884=A883,IF(F884&lt;0,-F884,0),"")</f>
        <v>16.3499999999999</v>
      </c>
    </row>
    <row r="885" customFormat="false" ht="15" hidden="false" customHeight="false" outlineLevel="0" collapsed="false">
      <c r="A885" s="14" t="s">
        <v>98</v>
      </c>
      <c r="B885" s="15" t="n">
        <v>46017</v>
      </c>
      <c r="C885" s="14" t="n">
        <v>2450.01</v>
      </c>
      <c r="D885" s="14" t="n">
        <v>1906572</v>
      </c>
      <c r="E885" s="16" t="n">
        <f aca="false">COUNTIFS($A$2:$A$1561,A885,$B$2:$B$1561,"&gt;"&amp;B885)+1</f>
        <v>157</v>
      </c>
      <c r="F885" s="16" t="n">
        <f aca="false">IF(A885=A884,C885-C884,"")</f>
        <v>5.63000000000011</v>
      </c>
      <c r="G885" s="16" t="n">
        <f aca="false">IF(A885=A884,IF(F885&gt;0,F885,0),"")</f>
        <v>5.63000000000011</v>
      </c>
      <c r="H885" s="16" t="n">
        <f aca="false">IF(A885=A884,IF(F885&lt;0,-F885,0),"")</f>
        <v>0</v>
      </c>
    </row>
    <row r="886" customFormat="false" ht="15" hidden="false" customHeight="false" outlineLevel="0" collapsed="false">
      <c r="A886" s="14" t="s">
        <v>98</v>
      </c>
      <c r="B886" s="15" t="n">
        <v>46020</v>
      </c>
      <c r="C886" s="14" t="n">
        <v>2431.43</v>
      </c>
      <c r="D886" s="14" t="n">
        <v>1981082</v>
      </c>
      <c r="E886" s="16" t="n">
        <f aca="false">COUNTIFS($A$2:$A$1561,A886,$B$2:$B$1561,"&gt;"&amp;B886)+1</f>
        <v>156</v>
      </c>
      <c r="F886" s="16" t="n">
        <f aca="false">IF(A886=A885,C886-C885,"")</f>
        <v>-18.5800000000004</v>
      </c>
      <c r="G886" s="16" t="n">
        <f aca="false">IF(A886=A885,IF(F886&gt;0,F886,0),"")</f>
        <v>0</v>
      </c>
      <c r="H886" s="16" t="n">
        <f aca="false">IF(A886=A885,IF(F886&lt;0,-F886,0),"")</f>
        <v>18.5800000000004</v>
      </c>
    </row>
    <row r="887" customFormat="false" ht="15" hidden="false" customHeight="false" outlineLevel="0" collapsed="false">
      <c r="A887" s="14" t="s">
        <v>98</v>
      </c>
      <c r="B887" s="15" t="n">
        <v>46021</v>
      </c>
      <c r="C887" s="14" t="n">
        <v>2428.46</v>
      </c>
      <c r="D887" s="14" t="n">
        <v>968678</v>
      </c>
      <c r="E887" s="16" t="n">
        <f aca="false">COUNTIFS($A$2:$A$1561,A887,$B$2:$B$1561,"&gt;"&amp;B887)+1</f>
        <v>155</v>
      </c>
      <c r="F887" s="16" t="n">
        <f aca="false">IF(A887=A886,C887-C886,"")</f>
        <v>-2.9699999999998</v>
      </c>
      <c r="G887" s="16" t="n">
        <f aca="false">IF(A887=A886,IF(F887&gt;0,F887,0),"")</f>
        <v>0</v>
      </c>
      <c r="H887" s="16" t="n">
        <f aca="false">IF(A887=A886,IF(F887&lt;0,-F887,0),"")</f>
        <v>2.9699999999998</v>
      </c>
    </row>
    <row r="888" customFormat="false" ht="15" hidden="false" customHeight="false" outlineLevel="0" collapsed="false">
      <c r="A888" s="14" t="s">
        <v>98</v>
      </c>
      <c r="B888" s="15" t="n">
        <v>46022</v>
      </c>
      <c r="C888" s="14" t="n">
        <v>2417.41</v>
      </c>
      <c r="D888" s="14" t="n">
        <v>2227460</v>
      </c>
      <c r="E888" s="16" t="n">
        <f aca="false">COUNTIFS($A$2:$A$1561,A888,$B$2:$B$1561,"&gt;"&amp;B888)+1</f>
        <v>154</v>
      </c>
      <c r="F888" s="16" t="n">
        <f aca="false">IF(A888=A887,C888-C887,"")</f>
        <v>-11.0500000000002</v>
      </c>
      <c r="G888" s="16" t="n">
        <f aca="false">IF(A888=A887,IF(F888&gt;0,F888,0),"")</f>
        <v>0</v>
      </c>
      <c r="H888" s="16" t="n">
        <f aca="false">IF(A888=A887,IF(F888&lt;0,-F888,0),"")</f>
        <v>11.0500000000002</v>
      </c>
    </row>
    <row r="889" customFormat="false" ht="15" hidden="false" customHeight="false" outlineLevel="0" collapsed="false">
      <c r="A889" s="14" t="s">
        <v>98</v>
      </c>
      <c r="B889" s="15" t="n">
        <v>46023</v>
      </c>
      <c r="C889" s="14" t="n">
        <v>2399.42</v>
      </c>
      <c r="D889" s="14" t="n">
        <v>1507791</v>
      </c>
      <c r="E889" s="16" t="n">
        <f aca="false">COUNTIFS($A$2:$A$1561,A889,$B$2:$B$1561,"&gt;"&amp;B889)+1</f>
        <v>153</v>
      </c>
      <c r="F889" s="16" t="n">
        <f aca="false">IF(A889=A888,C889-C888,"")</f>
        <v>-17.9899999999998</v>
      </c>
      <c r="G889" s="16" t="n">
        <f aca="false">IF(A889=A888,IF(F889&gt;0,F889,0),"")</f>
        <v>0</v>
      </c>
      <c r="H889" s="16" t="n">
        <f aca="false">IF(A889=A888,IF(F889&lt;0,-F889,0),"")</f>
        <v>17.9899999999998</v>
      </c>
    </row>
    <row r="890" customFormat="false" ht="15" hidden="false" customHeight="false" outlineLevel="0" collapsed="false">
      <c r="A890" s="14" t="s">
        <v>98</v>
      </c>
      <c r="B890" s="15" t="n">
        <v>46024</v>
      </c>
      <c r="C890" s="14" t="n">
        <v>2391.61</v>
      </c>
      <c r="D890" s="14" t="n">
        <v>2131572</v>
      </c>
      <c r="E890" s="16" t="n">
        <f aca="false">COUNTIFS($A$2:$A$1561,A890,$B$2:$B$1561,"&gt;"&amp;B890)+1</f>
        <v>152</v>
      </c>
      <c r="F890" s="16" t="n">
        <f aca="false">IF(A890=A889,C890-C889,"")</f>
        <v>-7.80999999999995</v>
      </c>
      <c r="G890" s="16" t="n">
        <f aca="false">IF(A890=A889,IF(F890&gt;0,F890,0),"")</f>
        <v>0</v>
      </c>
      <c r="H890" s="16" t="n">
        <f aca="false">IF(A890=A889,IF(F890&lt;0,-F890,0),"")</f>
        <v>7.80999999999995</v>
      </c>
    </row>
    <row r="891" customFormat="false" ht="15" hidden="false" customHeight="false" outlineLevel="0" collapsed="false">
      <c r="A891" s="14" t="s">
        <v>98</v>
      </c>
      <c r="B891" s="15" t="n">
        <v>46027</v>
      </c>
      <c r="C891" s="14" t="n">
        <v>2402.87</v>
      </c>
      <c r="D891" s="14" t="n">
        <v>1137807</v>
      </c>
      <c r="E891" s="16" t="n">
        <f aca="false">COUNTIFS($A$2:$A$1561,A891,$B$2:$B$1561,"&gt;"&amp;B891)+1</f>
        <v>151</v>
      </c>
      <c r="F891" s="16" t="n">
        <f aca="false">IF(A891=A890,C891-C890,"")</f>
        <v>11.2599999999998</v>
      </c>
      <c r="G891" s="16" t="n">
        <f aca="false">IF(A891=A890,IF(F891&gt;0,F891,0),"")</f>
        <v>11.2599999999998</v>
      </c>
      <c r="H891" s="16" t="n">
        <f aca="false">IF(A891=A890,IF(F891&lt;0,-F891,0),"")</f>
        <v>0</v>
      </c>
    </row>
    <row r="892" customFormat="false" ht="15" hidden="false" customHeight="false" outlineLevel="0" collapsed="false">
      <c r="A892" s="14" t="s">
        <v>98</v>
      </c>
      <c r="B892" s="15" t="n">
        <v>46028</v>
      </c>
      <c r="C892" s="14" t="n">
        <v>2408.4</v>
      </c>
      <c r="D892" s="14" t="n">
        <v>1845063</v>
      </c>
      <c r="E892" s="16" t="n">
        <f aca="false">COUNTIFS($A$2:$A$1561,A892,$B$2:$B$1561,"&gt;"&amp;B892)+1</f>
        <v>150</v>
      </c>
      <c r="F892" s="16" t="n">
        <f aca="false">IF(A892=A891,C892-C891,"")</f>
        <v>5.5300000000002</v>
      </c>
      <c r="G892" s="16" t="n">
        <f aca="false">IF(A892=A891,IF(F892&gt;0,F892,0),"")</f>
        <v>5.5300000000002</v>
      </c>
      <c r="H892" s="16" t="n">
        <f aca="false">IF(A892=A891,IF(F892&lt;0,-F892,0),"")</f>
        <v>0</v>
      </c>
    </row>
    <row r="893" customFormat="false" ht="15" hidden="false" customHeight="false" outlineLevel="0" collapsed="false">
      <c r="A893" s="14" t="s">
        <v>98</v>
      </c>
      <c r="B893" s="15" t="n">
        <v>46029</v>
      </c>
      <c r="C893" s="14" t="n">
        <v>2401.93</v>
      </c>
      <c r="D893" s="14" t="n">
        <v>1103528</v>
      </c>
      <c r="E893" s="16" t="n">
        <f aca="false">COUNTIFS($A$2:$A$1561,A893,$B$2:$B$1561,"&gt;"&amp;B893)+1</f>
        <v>149</v>
      </c>
      <c r="F893" s="16" t="n">
        <f aca="false">IF(A893=A892,C893-C892,"")</f>
        <v>-6.47000000000026</v>
      </c>
      <c r="G893" s="16" t="n">
        <f aca="false">IF(A893=A892,IF(F893&gt;0,F893,0),"")</f>
        <v>0</v>
      </c>
      <c r="H893" s="16" t="n">
        <f aca="false">IF(A893=A892,IF(F893&lt;0,-F893,0),"")</f>
        <v>6.47000000000026</v>
      </c>
    </row>
    <row r="894" customFormat="false" ht="15" hidden="false" customHeight="false" outlineLevel="0" collapsed="false">
      <c r="A894" s="14" t="s">
        <v>98</v>
      </c>
      <c r="B894" s="15" t="n">
        <v>46030</v>
      </c>
      <c r="C894" s="14" t="n">
        <v>2387.8</v>
      </c>
      <c r="D894" s="14" t="n">
        <v>1820424</v>
      </c>
      <c r="E894" s="16" t="n">
        <f aca="false">COUNTIFS($A$2:$A$1561,A894,$B$2:$B$1561,"&gt;"&amp;B894)+1</f>
        <v>148</v>
      </c>
      <c r="F894" s="16" t="n">
        <f aca="false">IF(A894=A893,C894-C893,"")</f>
        <v>-14.1299999999997</v>
      </c>
      <c r="G894" s="16" t="n">
        <f aca="false">IF(A894=A893,IF(F894&gt;0,F894,0),"")</f>
        <v>0</v>
      </c>
      <c r="H894" s="16" t="n">
        <f aca="false">IF(A894=A893,IF(F894&lt;0,-F894,0),"")</f>
        <v>14.1299999999997</v>
      </c>
    </row>
    <row r="895" customFormat="false" ht="15" hidden="false" customHeight="false" outlineLevel="0" collapsed="false">
      <c r="A895" s="14" t="s">
        <v>98</v>
      </c>
      <c r="B895" s="15" t="n">
        <v>46031</v>
      </c>
      <c r="C895" s="14" t="n">
        <v>2377.1</v>
      </c>
      <c r="D895" s="14" t="n">
        <v>1101001</v>
      </c>
      <c r="E895" s="16" t="n">
        <f aca="false">COUNTIFS($A$2:$A$1561,A895,$B$2:$B$1561,"&gt;"&amp;B895)+1</f>
        <v>147</v>
      </c>
      <c r="F895" s="16" t="n">
        <f aca="false">IF(A895=A894,C895-C894,"")</f>
        <v>-10.7000000000003</v>
      </c>
      <c r="G895" s="16" t="n">
        <f aca="false">IF(A895=A894,IF(F895&gt;0,F895,0),"")</f>
        <v>0</v>
      </c>
      <c r="H895" s="16" t="n">
        <f aca="false">IF(A895=A894,IF(F895&lt;0,-F895,0),"")</f>
        <v>10.7000000000003</v>
      </c>
    </row>
    <row r="896" customFormat="false" ht="15" hidden="false" customHeight="false" outlineLevel="0" collapsed="false">
      <c r="A896" s="14" t="s">
        <v>98</v>
      </c>
      <c r="B896" s="15" t="n">
        <v>46034</v>
      </c>
      <c r="C896" s="14" t="n">
        <v>2359.6</v>
      </c>
      <c r="D896" s="14" t="n">
        <v>2397040</v>
      </c>
      <c r="E896" s="16" t="n">
        <f aca="false">COUNTIFS($A$2:$A$1561,A896,$B$2:$B$1561,"&gt;"&amp;B896)+1</f>
        <v>146</v>
      </c>
      <c r="F896" s="16" t="n">
        <f aca="false">IF(A896=A895,C896-C895,"")</f>
        <v>-17.5</v>
      </c>
      <c r="G896" s="16" t="n">
        <f aca="false">IF(A896=A895,IF(F896&gt;0,F896,0),"")</f>
        <v>0</v>
      </c>
      <c r="H896" s="16" t="n">
        <f aca="false">IF(A896=A895,IF(F896&lt;0,-F896,0),"")</f>
        <v>17.5</v>
      </c>
    </row>
    <row r="897" customFormat="false" ht="15" hidden="false" customHeight="false" outlineLevel="0" collapsed="false">
      <c r="A897" s="14" t="s">
        <v>98</v>
      </c>
      <c r="B897" s="15" t="n">
        <v>46035</v>
      </c>
      <c r="C897" s="14" t="n">
        <v>2377</v>
      </c>
      <c r="D897" s="14" t="n">
        <v>2323155</v>
      </c>
      <c r="E897" s="16" t="n">
        <f aca="false">COUNTIFS($A$2:$A$1561,A897,$B$2:$B$1561,"&gt;"&amp;B897)+1</f>
        <v>145</v>
      </c>
      <c r="F897" s="16" t="n">
        <f aca="false">IF(A897=A896,C897-C896,"")</f>
        <v>17.4000000000001</v>
      </c>
      <c r="G897" s="16" t="n">
        <f aca="false">IF(A897=A896,IF(F897&gt;0,F897,0),"")</f>
        <v>17.4000000000001</v>
      </c>
      <c r="H897" s="16" t="n">
        <f aca="false">IF(A897=A896,IF(F897&lt;0,-F897,0),"")</f>
        <v>0</v>
      </c>
    </row>
    <row r="898" customFormat="false" ht="15" hidden="false" customHeight="false" outlineLevel="0" collapsed="false">
      <c r="A898" s="14" t="s">
        <v>98</v>
      </c>
      <c r="B898" s="15" t="n">
        <v>46036</v>
      </c>
      <c r="C898" s="14" t="n">
        <v>2383.68</v>
      </c>
      <c r="D898" s="14" t="n">
        <v>1354401</v>
      </c>
      <c r="E898" s="16" t="n">
        <f aca="false">COUNTIFS($A$2:$A$1561,A898,$B$2:$B$1561,"&gt;"&amp;B898)+1</f>
        <v>144</v>
      </c>
      <c r="F898" s="16" t="n">
        <f aca="false">IF(A898=A897,C898-C897,"")</f>
        <v>6.67999999999984</v>
      </c>
      <c r="G898" s="16" t="n">
        <f aca="false">IF(A898=A897,IF(F898&gt;0,F898,0),"")</f>
        <v>6.67999999999984</v>
      </c>
      <c r="H898" s="16" t="n">
        <f aca="false">IF(A898=A897,IF(F898&lt;0,-F898,0),"")</f>
        <v>0</v>
      </c>
    </row>
    <row r="899" customFormat="false" ht="15" hidden="false" customHeight="false" outlineLevel="0" collapsed="false">
      <c r="A899" s="14" t="s">
        <v>98</v>
      </c>
      <c r="B899" s="15" t="n">
        <v>46037</v>
      </c>
      <c r="C899" s="14" t="n">
        <v>2384.78</v>
      </c>
      <c r="D899" s="14" t="n">
        <v>2444580</v>
      </c>
      <c r="E899" s="16" t="n">
        <f aca="false">COUNTIFS($A$2:$A$1561,A899,$B$2:$B$1561,"&gt;"&amp;B899)+1</f>
        <v>143</v>
      </c>
      <c r="F899" s="16" t="n">
        <f aca="false">IF(A899=A898,C899-C898,"")</f>
        <v>1.10000000000036</v>
      </c>
      <c r="G899" s="16" t="n">
        <f aca="false">IF(A899=A898,IF(F899&gt;0,F899,0),"")</f>
        <v>1.10000000000036</v>
      </c>
      <c r="H899" s="16" t="n">
        <f aca="false">IF(A899=A898,IF(F899&lt;0,-F899,0),"")</f>
        <v>0</v>
      </c>
    </row>
    <row r="900" customFormat="false" ht="15" hidden="false" customHeight="false" outlineLevel="0" collapsed="false">
      <c r="A900" s="14" t="s">
        <v>98</v>
      </c>
      <c r="B900" s="15" t="n">
        <v>46038</v>
      </c>
      <c r="C900" s="14" t="n">
        <v>2405.02</v>
      </c>
      <c r="D900" s="14" t="n">
        <v>1842685</v>
      </c>
      <c r="E900" s="16" t="n">
        <f aca="false">COUNTIFS($A$2:$A$1561,A900,$B$2:$B$1561,"&gt;"&amp;B900)+1</f>
        <v>142</v>
      </c>
      <c r="F900" s="16" t="n">
        <f aca="false">IF(A900=A899,C900-C899,"")</f>
        <v>20.2399999999998</v>
      </c>
      <c r="G900" s="16" t="n">
        <f aca="false">IF(A900=A899,IF(F900&gt;0,F900,0),"")</f>
        <v>20.2399999999998</v>
      </c>
      <c r="H900" s="16" t="n">
        <f aca="false">IF(A900=A899,IF(F900&lt;0,-F900,0),"")</f>
        <v>0</v>
      </c>
    </row>
    <row r="901" customFormat="false" ht="15" hidden="false" customHeight="false" outlineLevel="0" collapsed="false">
      <c r="A901" s="14" t="s">
        <v>98</v>
      </c>
      <c r="B901" s="15" t="n">
        <v>46041</v>
      </c>
      <c r="C901" s="14" t="n">
        <v>2418.69</v>
      </c>
      <c r="D901" s="14" t="n">
        <v>1137468</v>
      </c>
      <c r="E901" s="16" t="n">
        <f aca="false">COUNTIFS($A$2:$A$1561,A901,$B$2:$B$1561,"&gt;"&amp;B901)+1</f>
        <v>141</v>
      </c>
      <c r="F901" s="16" t="n">
        <f aca="false">IF(A901=A900,C901-C900,"")</f>
        <v>13.6700000000001</v>
      </c>
      <c r="G901" s="16" t="n">
        <f aca="false">IF(A901=A900,IF(F901&gt;0,F901,0),"")</f>
        <v>13.6700000000001</v>
      </c>
      <c r="H901" s="16" t="n">
        <f aca="false">IF(A901=A900,IF(F901&lt;0,-F901,0),"")</f>
        <v>0</v>
      </c>
    </row>
    <row r="902" customFormat="false" ht="15" hidden="false" customHeight="false" outlineLevel="0" collapsed="false">
      <c r="A902" s="14" t="s">
        <v>98</v>
      </c>
      <c r="B902" s="15" t="n">
        <v>46042</v>
      </c>
      <c r="C902" s="14" t="n">
        <v>2416.35</v>
      </c>
      <c r="D902" s="14" t="n">
        <v>798435</v>
      </c>
      <c r="E902" s="16" t="n">
        <f aca="false">COUNTIFS($A$2:$A$1561,A902,$B$2:$B$1561,"&gt;"&amp;B902)+1</f>
        <v>140</v>
      </c>
      <c r="F902" s="16" t="n">
        <f aca="false">IF(A902=A901,C902-C901,"")</f>
        <v>-2.34000000000015</v>
      </c>
      <c r="G902" s="16" t="n">
        <f aca="false">IF(A902=A901,IF(F902&gt;0,F902,0),"")</f>
        <v>0</v>
      </c>
      <c r="H902" s="16" t="n">
        <f aca="false">IF(A902=A901,IF(F902&lt;0,-F902,0),"")</f>
        <v>2.34000000000015</v>
      </c>
    </row>
    <row r="903" customFormat="false" ht="15" hidden="false" customHeight="false" outlineLevel="0" collapsed="false">
      <c r="A903" s="14" t="s">
        <v>98</v>
      </c>
      <c r="B903" s="15" t="n">
        <v>46043</v>
      </c>
      <c r="C903" s="14" t="n">
        <v>2412.28</v>
      </c>
      <c r="D903" s="14" t="n">
        <v>2008832</v>
      </c>
      <c r="E903" s="16" t="n">
        <f aca="false">COUNTIFS($A$2:$A$1561,A903,$B$2:$B$1561,"&gt;"&amp;B903)+1</f>
        <v>139</v>
      </c>
      <c r="F903" s="16" t="n">
        <f aca="false">IF(A903=A902,C903-C902,"")</f>
        <v>-4.06999999999971</v>
      </c>
      <c r="G903" s="16" t="n">
        <f aca="false">IF(A903=A902,IF(F903&gt;0,F903,0),"")</f>
        <v>0</v>
      </c>
      <c r="H903" s="16" t="n">
        <f aca="false">IF(A903=A902,IF(F903&lt;0,-F903,0),"")</f>
        <v>4.06999999999971</v>
      </c>
    </row>
    <row r="904" customFormat="false" ht="15" hidden="false" customHeight="false" outlineLevel="0" collapsed="false">
      <c r="A904" s="14" t="s">
        <v>98</v>
      </c>
      <c r="B904" s="15" t="n">
        <v>46044</v>
      </c>
      <c r="C904" s="14" t="n">
        <v>2412.44</v>
      </c>
      <c r="D904" s="14" t="n">
        <v>2198681</v>
      </c>
      <c r="E904" s="16" t="n">
        <f aca="false">COUNTIFS($A$2:$A$1561,A904,$B$2:$B$1561,"&gt;"&amp;B904)+1</f>
        <v>138</v>
      </c>
      <c r="F904" s="16" t="n">
        <f aca="false">IF(A904=A903,C904-C903,"")</f>
        <v>0.159999999999854</v>
      </c>
      <c r="G904" s="16" t="n">
        <f aca="false">IF(A904=A903,IF(F904&gt;0,F904,0),"")</f>
        <v>0.159999999999854</v>
      </c>
      <c r="H904" s="16" t="n">
        <f aca="false">IF(A904=A903,IF(F904&lt;0,-F904,0),"")</f>
        <v>0</v>
      </c>
    </row>
    <row r="905" customFormat="false" ht="15" hidden="false" customHeight="false" outlineLevel="0" collapsed="false">
      <c r="A905" s="14" t="s">
        <v>98</v>
      </c>
      <c r="B905" s="15" t="n">
        <v>46045</v>
      </c>
      <c r="C905" s="14" t="n">
        <v>2405.09</v>
      </c>
      <c r="D905" s="14" t="n">
        <v>1915153</v>
      </c>
      <c r="E905" s="16" t="n">
        <f aca="false">COUNTIFS($A$2:$A$1561,A905,$B$2:$B$1561,"&gt;"&amp;B905)+1</f>
        <v>137</v>
      </c>
      <c r="F905" s="16" t="n">
        <f aca="false">IF(A905=A904,C905-C904,"")</f>
        <v>-7.34999999999991</v>
      </c>
      <c r="G905" s="16" t="n">
        <f aca="false">IF(A905=A904,IF(F905&gt;0,F905,0),"")</f>
        <v>0</v>
      </c>
      <c r="H905" s="16" t="n">
        <f aca="false">IF(A905=A904,IF(F905&lt;0,-F905,0),"")</f>
        <v>7.34999999999991</v>
      </c>
    </row>
    <row r="906" customFormat="false" ht="15" hidden="false" customHeight="false" outlineLevel="0" collapsed="false">
      <c r="A906" s="14" t="s">
        <v>98</v>
      </c>
      <c r="B906" s="15" t="n">
        <v>46048</v>
      </c>
      <c r="C906" s="14" t="n">
        <v>2419.62</v>
      </c>
      <c r="D906" s="14" t="n">
        <v>2329482</v>
      </c>
      <c r="E906" s="16" t="n">
        <f aca="false">COUNTIFS($A$2:$A$1561,A906,$B$2:$B$1561,"&gt;"&amp;B906)+1</f>
        <v>136</v>
      </c>
      <c r="F906" s="16" t="n">
        <f aca="false">IF(A906=A905,C906-C905,"")</f>
        <v>14.5299999999997</v>
      </c>
      <c r="G906" s="16" t="n">
        <f aca="false">IF(A906=A905,IF(F906&gt;0,F906,0),"")</f>
        <v>14.5299999999997</v>
      </c>
      <c r="H906" s="16" t="n">
        <f aca="false">IF(A906=A905,IF(F906&lt;0,-F906,0),"")</f>
        <v>0</v>
      </c>
    </row>
    <row r="907" customFormat="false" ht="15" hidden="false" customHeight="false" outlineLevel="0" collapsed="false">
      <c r="A907" s="14" t="s">
        <v>98</v>
      </c>
      <c r="B907" s="15" t="n">
        <v>46049</v>
      </c>
      <c r="C907" s="14" t="n">
        <v>2423.65</v>
      </c>
      <c r="D907" s="14" t="n">
        <v>2435572</v>
      </c>
      <c r="E907" s="16" t="n">
        <f aca="false">COUNTIFS($A$2:$A$1561,A907,$B$2:$B$1561,"&gt;"&amp;B907)+1</f>
        <v>135</v>
      </c>
      <c r="F907" s="16" t="n">
        <f aca="false">IF(A907=A906,C907-C906,"")</f>
        <v>4.0300000000002</v>
      </c>
      <c r="G907" s="16" t="n">
        <f aca="false">IF(A907=A906,IF(F907&gt;0,F907,0),"")</f>
        <v>4.0300000000002</v>
      </c>
      <c r="H907" s="16" t="n">
        <f aca="false">IF(A907=A906,IF(F907&lt;0,-F907,0),"")</f>
        <v>0</v>
      </c>
    </row>
    <row r="908" customFormat="false" ht="15" hidden="false" customHeight="false" outlineLevel="0" collapsed="false">
      <c r="A908" s="14" t="s">
        <v>98</v>
      </c>
      <c r="B908" s="15" t="n">
        <v>46050</v>
      </c>
      <c r="C908" s="14" t="n">
        <v>2427.46</v>
      </c>
      <c r="D908" s="14" t="n">
        <v>768185</v>
      </c>
      <c r="E908" s="16" t="n">
        <f aca="false">COUNTIFS($A$2:$A$1561,A908,$B$2:$B$1561,"&gt;"&amp;B908)+1</f>
        <v>134</v>
      </c>
      <c r="F908" s="16" t="n">
        <f aca="false">IF(A908=A907,C908-C907,"")</f>
        <v>3.80999999999995</v>
      </c>
      <c r="G908" s="16" t="n">
        <f aca="false">IF(A908=A907,IF(F908&gt;0,F908,0),"")</f>
        <v>3.80999999999995</v>
      </c>
      <c r="H908" s="16" t="n">
        <f aca="false">IF(A908=A907,IF(F908&lt;0,-F908,0),"")</f>
        <v>0</v>
      </c>
    </row>
    <row r="909" customFormat="false" ht="15" hidden="false" customHeight="false" outlineLevel="0" collapsed="false">
      <c r="A909" s="14" t="s">
        <v>98</v>
      </c>
      <c r="B909" s="15" t="n">
        <v>46051</v>
      </c>
      <c r="C909" s="14" t="n">
        <v>2417.53</v>
      </c>
      <c r="D909" s="14" t="n">
        <v>906673</v>
      </c>
      <c r="E909" s="16" t="n">
        <f aca="false">COUNTIFS($A$2:$A$1561,A909,$B$2:$B$1561,"&gt;"&amp;B909)+1</f>
        <v>133</v>
      </c>
      <c r="F909" s="16" t="n">
        <f aca="false">IF(A909=A908,C909-C908,"")</f>
        <v>-9.92999999999984</v>
      </c>
      <c r="G909" s="16" t="n">
        <f aca="false">IF(A909=A908,IF(F909&gt;0,F909,0),"")</f>
        <v>0</v>
      </c>
      <c r="H909" s="16" t="n">
        <f aca="false">IF(A909=A908,IF(F909&lt;0,-F909,0),"")</f>
        <v>9.92999999999984</v>
      </c>
    </row>
    <row r="910" customFormat="false" ht="15" hidden="false" customHeight="false" outlineLevel="0" collapsed="false">
      <c r="A910" s="14" t="s">
        <v>98</v>
      </c>
      <c r="B910" s="15" t="n">
        <v>46052</v>
      </c>
      <c r="C910" s="14" t="n">
        <v>2425.22</v>
      </c>
      <c r="D910" s="14" t="n">
        <v>2344452</v>
      </c>
      <c r="E910" s="16" t="n">
        <f aca="false">COUNTIFS($A$2:$A$1561,A910,$B$2:$B$1561,"&gt;"&amp;B910)+1</f>
        <v>132</v>
      </c>
      <c r="F910" s="16" t="n">
        <f aca="false">IF(A910=A909,C910-C909,"")</f>
        <v>7.6899999999996</v>
      </c>
      <c r="G910" s="16" t="n">
        <f aca="false">IF(A910=A909,IF(F910&gt;0,F910,0),"")</f>
        <v>7.6899999999996</v>
      </c>
      <c r="H910" s="16" t="n">
        <f aca="false">IF(A910=A909,IF(F910&lt;0,-F910,0),"")</f>
        <v>0</v>
      </c>
    </row>
    <row r="911" customFormat="false" ht="15" hidden="false" customHeight="false" outlineLevel="0" collapsed="false">
      <c r="A911" s="14" t="s">
        <v>98</v>
      </c>
      <c r="B911" s="15" t="n">
        <v>46055</v>
      </c>
      <c r="C911" s="14" t="n">
        <v>2441.68</v>
      </c>
      <c r="D911" s="14" t="n">
        <v>684927</v>
      </c>
      <c r="E911" s="16" t="n">
        <f aca="false">COUNTIFS($A$2:$A$1561,A911,$B$2:$B$1561,"&gt;"&amp;B911)+1</f>
        <v>131</v>
      </c>
      <c r="F911" s="16" t="n">
        <f aca="false">IF(A911=A910,C911-C910,"")</f>
        <v>16.46</v>
      </c>
      <c r="G911" s="16" t="n">
        <f aca="false">IF(A911=A910,IF(F911&gt;0,F911,0),"")</f>
        <v>16.46</v>
      </c>
      <c r="H911" s="16" t="n">
        <f aca="false">IF(A911=A910,IF(F911&lt;0,-F911,0),"")</f>
        <v>0</v>
      </c>
    </row>
    <row r="912" customFormat="false" ht="15" hidden="false" customHeight="false" outlineLevel="0" collapsed="false">
      <c r="A912" s="14" t="s">
        <v>98</v>
      </c>
      <c r="B912" s="15" t="n">
        <v>46056</v>
      </c>
      <c r="C912" s="14" t="n">
        <v>2452.87</v>
      </c>
      <c r="D912" s="14" t="n">
        <v>880963</v>
      </c>
      <c r="E912" s="16" t="n">
        <f aca="false">COUNTIFS($A$2:$A$1561,A912,$B$2:$B$1561,"&gt;"&amp;B912)+1</f>
        <v>130</v>
      </c>
      <c r="F912" s="16" t="n">
        <f aca="false">IF(A912=A911,C912-C911,"")</f>
        <v>11.1900000000001</v>
      </c>
      <c r="G912" s="16" t="n">
        <f aca="false">IF(A912=A911,IF(F912&gt;0,F912,0),"")</f>
        <v>11.1900000000001</v>
      </c>
      <c r="H912" s="16" t="n">
        <f aca="false">IF(A912=A911,IF(F912&lt;0,-F912,0),"")</f>
        <v>0</v>
      </c>
    </row>
    <row r="913" customFormat="false" ht="15" hidden="false" customHeight="false" outlineLevel="0" collapsed="false">
      <c r="A913" s="14" t="s">
        <v>98</v>
      </c>
      <c r="B913" s="15" t="n">
        <v>46057</v>
      </c>
      <c r="C913" s="14" t="n">
        <v>2443.97</v>
      </c>
      <c r="D913" s="14" t="n">
        <v>1847343</v>
      </c>
      <c r="E913" s="16" t="n">
        <f aca="false">COUNTIFS($A$2:$A$1561,A913,$B$2:$B$1561,"&gt;"&amp;B913)+1</f>
        <v>129</v>
      </c>
      <c r="F913" s="16" t="n">
        <f aca="false">IF(A913=A912,C913-C912,"")</f>
        <v>-8.90000000000009</v>
      </c>
      <c r="G913" s="16" t="n">
        <f aca="false">IF(A913=A912,IF(F913&gt;0,F913,0),"")</f>
        <v>0</v>
      </c>
      <c r="H913" s="16" t="n">
        <f aca="false">IF(A913=A912,IF(F913&lt;0,-F913,0),"")</f>
        <v>8.90000000000009</v>
      </c>
    </row>
    <row r="914" customFormat="false" ht="15" hidden="false" customHeight="false" outlineLevel="0" collapsed="false">
      <c r="A914" s="14" t="s">
        <v>98</v>
      </c>
      <c r="B914" s="15" t="n">
        <v>46058</v>
      </c>
      <c r="C914" s="14" t="n">
        <v>2449.82</v>
      </c>
      <c r="D914" s="14" t="n">
        <v>2247240</v>
      </c>
      <c r="E914" s="16" t="n">
        <f aca="false">COUNTIFS($A$2:$A$1561,A914,$B$2:$B$1561,"&gt;"&amp;B914)+1</f>
        <v>128</v>
      </c>
      <c r="F914" s="16" t="n">
        <f aca="false">IF(A914=A913,C914-C913,"")</f>
        <v>5.85000000000036</v>
      </c>
      <c r="G914" s="16" t="n">
        <f aca="false">IF(A914=A913,IF(F914&gt;0,F914,0),"")</f>
        <v>5.85000000000036</v>
      </c>
      <c r="H914" s="16" t="n">
        <f aca="false">IF(A914=A913,IF(F914&lt;0,-F914,0),"")</f>
        <v>0</v>
      </c>
    </row>
    <row r="915" customFormat="false" ht="15" hidden="false" customHeight="false" outlineLevel="0" collapsed="false">
      <c r="A915" s="14" t="s">
        <v>98</v>
      </c>
      <c r="B915" s="15" t="n">
        <v>46059</v>
      </c>
      <c r="C915" s="14" t="n">
        <v>2437.39</v>
      </c>
      <c r="D915" s="14" t="n">
        <v>2023392</v>
      </c>
      <c r="E915" s="16" t="n">
        <f aca="false">COUNTIFS($A$2:$A$1561,A915,$B$2:$B$1561,"&gt;"&amp;B915)+1</f>
        <v>127</v>
      </c>
      <c r="F915" s="16" t="n">
        <f aca="false">IF(A915=A914,C915-C914,"")</f>
        <v>-12.4300000000003</v>
      </c>
      <c r="G915" s="16" t="n">
        <f aca="false">IF(A915=A914,IF(F915&gt;0,F915,0),"")</f>
        <v>0</v>
      </c>
      <c r="H915" s="16" t="n">
        <f aca="false">IF(A915=A914,IF(F915&lt;0,-F915,0),"")</f>
        <v>12.4300000000003</v>
      </c>
    </row>
    <row r="916" customFormat="false" ht="15" hidden="false" customHeight="false" outlineLevel="0" collapsed="false">
      <c r="A916" s="14" t="s">
        <v>98</v>
      </c>
      <c r="B916" s="15" t="n">
        <v>46062</v>
      </c>
      <c r="C916" s="14" t="n">
        <v>2448.55</v>
      </c>
      <c r="D916" s="14" t="n">
        <v>1617700</v>
      </c>
      <c r="E916" s="16" t="n">
        <f aca="false">COUNTIFS($A$2:$A$1561,A916,$B$2:$B$1561,"&gt;"&amp;B916)+1</f>
        <v>126</v>
      </c>
      <c r="F916" s="16" t="n">
        <f aca="false">IF(A916=A915,C916-C915,"")</f>
        <v>11.1600000000003</v>
      </c>
      <c r="G916" s="16" t="n">
        <f aca="false">IF(A916=A915,IF(F916&gt;0,F916,0),"")</f>
        <v>11.1600000000003</v>
      </c>
      <c r="H916" s="16" t="n">
        <f aca="false">IF(A916=A915,IF(F916&lt;0,-F916,0),"")</f>
        <v>0</v>
      </c>
    </row>
    <row r="917" customFormat="false" ht="15" hidden="false" customHeight="false" outlineLevel="0" collapsed="false">
      <c r="A917" s="14" t="s">
        <v>98</v>
      </c>
      <c r="B917" s="15" t="n">
        <v>46063</v>
      </c>
      <c r="C917" s="14" t="n">
        <v>2448.96</v>
      </c>
      <c r="D917" s="14" t="n">
        <v>2238947</v>
      </c>
      <c r="E917" s="16" t="n">
        <f aca="false">COUNTIFS($A$2:$A$1561,A917,$B$2:$B$1561,"&gt;"&amp;B917)+1</f>
        <v>125</v>
      </c>
      <c r="F917" s="16" t="n">
        <f aca="false">IF(A917=A916,C917-C916,"")</f>
        <v>0.409999999999855</v>
      </c>
      <c r="G917" s="16" t="n">
        <f aca="false">IF(A917=A916,IF(F917&gt;0,F917,0),"")</f>
        <v>0.409999999999855</v>
      </c>
      <c r="H917" s="16" t="n">
        <f aca="false">IF(A917=A916,IF(F917&lt;0,-F917,0),"")</f>
        <v>0</v>
      </c>
    </row>
    <row r="918" customFormat="false" ht="15" hidden="false" customHeight="false" outlineLevel="0" collapsed="false">
      <c r="A918" s="14" t="s">
        <v>98</v>
      </c>
      <c r="B918" s="15" t="n">
        <v>46064</v>
      </c>
      <c r="C918" s="14" t="n">
        <v>2442.92</v>
      </c>
      <c r="D918" s="14" t="n">
        <v>2414039</v>
      </c>
      <c r="E918" s="16" t="n">
        <f aca="false">COUNTIFS($A$2:$A$1561,A918,$B$2:$B$1561,"&gt;"&amp;B918)+1</f>
        <v>124</v>
      </c>
      <c r="F918" s="16" t="n">
        <f aca="false">IF(A918=A917,C918-C917,"")</f>
        <v>-6.03999999999996</v>
      </c>
      <c r="G918" s="16" t="n">
        <f aca="false">IF(A918=A917,IF(F918&gt;0,F918,0),"")</f>
        <v>0</v>
      </c>
      <c r="H918" s="16" t="n">
        <f aca="false">IF(A918=A917,IF(F918&lt;0,-F918,0),"")</f>
        <v>6.03999999999996</v>
      </c>
    </row>
    <row r="919" customFormat="false" ht="15" hidden="false" customHeight="false" outlineLevel="0" collapsed="false">
      <c r="A919" s="14" t="s">
        <v>98</v>
      </c>
      <c r="B919" s="15" t="n">
        <v>46065</v>
      </c>
      <c r="C919" s="14" t="n">
        <v>2422.93</v>
      </c>
      <c r="D919" s="14" t="n">
        <v>2374319</v>
      </c>
      <c r="E919" s="16" t="n">
        <f aca="false">COUNTIFS($A$2:$A$1561,A919,$B$2:$B$1561,"&gt;"&amp;B919)+1</f>
        <v>123</v>
      </c>
      <c r="F919" s="16" t="n">
        <f aca="false">IF(A919=A918,C919-C918,"")</f>
        <v>-19.9900000000002</v>
      </c>
      <c r="G919" s="16" t="n">
        <f aca="false">IF(A919=A918,IF(F919&gt;0,F919,0),"")</f>
        <v>0</v>
      </c>
      <c r="H919" s="16" t="n">
        <f aca="false">IF(A919=A918,IF(F919&lt;0,-F919,0),"")</f>
        <v>19.9900000000002</v>
      </c>
    </row>
    <row r="920" customFormat="false" ht="15" hidden="false" customHeight="false" outlineLevel="0" collapsed="false">
      <c r="A920" s="14" t="s">
        <v>98</v>
      </c>
      <c r="B920" s="15" t="n">
        <v>46066</v>
      </c>
      <c r="C920" s="14" t="n">
        <v>2444.39</v>
      </c>
      <c r="D920" s="14" t="n">
        <v>734632</v>
      </c>
      <c r="E920" s="16" t="n">
        <f aca="false">COUNTIFS($A$2:$A$1561,A920,$B$2:$B$1561,"&gt;"&amp;B920)+1</f>
        <v>122</v>
      </c>
      <c r="F920" s="16" t="n">
        <f aca="false">IF(A920=A919,C920-C919,"")</f>
        <v>21.46</v>
      </c>
      <c r="G920" s="16" t="n">
        <f aca="false">IF(A920=A919,IF(F920&gt;0,F920,0),"")</f>
        <v>21.46</v>
      </c>
      <c r="H920" s="16" t="n">
        <f aca="false">IF(A920=A919,IF(F920&lt;0,-F920,0),"")</f>
        <v>0</v>
      </c>
    </row>
    <row r="921" customFormat="false" ht="15" hidden="false" customHeight="false" outlineLevel="0" collapsed="false">
      <c r="A921" s="14" t="s">
        <v>98</v>
      </c>
      <c r="B921" s="15" t="n">
        <v>46069</v>
      </c>
      <c r="C921" s="14" t="n">
        <v>2467.69</v>
      </c>
      <c r="D921" s="14" t="n">
        <v>1457841</v>
      </c>
      <c r="E921" s="16" t="n">
        <f aca="false">COUNTIFS($A$2:$A$1561,A921,$B$2:$B$1561,"&gt;"&amp;B921)+1</f>
        <v>121</v>
      </c>
      <c r="F921" s="16" t="n">
        <f aca="false">IF(A921=A920,C921-C920,"")</f>
        <v>23.3000000000002</v>
      </c>
      <c r="G921" s="16" t="n">
        <f aca="false">IF(A921=A920,IF(F921&gt;0,F921,0),"")</f>
        <v>23.3000000000002</v>
      </c>
      <c r="H921" s="16" t="n">
        <f aca="false">IF(A921=A920,IF(F921&lt;0,-F921,0),"")</f>
        <v>0</v>
      </c>
    </row>
    <row r="922" customFormat="false" ht="15" hidden="false" customHeight="false" outlineLevel="0" collapsed="false">
      <c r="A922" s="14" t="s">
        <v>98</v>
      </c>
      <c r="B922" s="15" t="n">
        <v>46070</v>
      </c>
      <c r="C922" s="14" t="n">
        <v>2457.59</v>
      </c>
      <c r="D922" s="14" t="n">
        <v>1708803</v>
      </c>
      <c r="E922" s="16" t="n">
        <f aca="false">COUNTIFS($A$2:$A$1561,A922,$B$2:$B$1561,"&gt;"&amp;B922)+1</f>
        <v>120</v>
      </c>
      <c r="F922" s="16" t="n">
        <f aca="false">IF(A922=A921,C922-C921,"")</f>
        <v>-10.0999999999999</v>
      </c>
      <c r="G922" s="16" t="n">
        <f aca="false">IF(A922=A921,IF(F922&gt;0,F922,0),"")</f>
        <v>0</v>
      </c>
      <c r="H922" s="16" t="n">
        <f aca="false">IF(A922=A921,IF(F922&lt;0,-F922,0),"")</f>
        <v>10.0999999999999</v>
      </c>
    </row>
    <row r="923" customFormat="false" ht="15" hidden="false" customHeight="false" outlineLevel="0" collapsed="false">
      <c r="A923" s="14" t="s">
        <v>98</v>
      </c>
      <c r="B923" s="15" t="n">
        <v>46071</v>
      </c>
      <c r="C923" s="14" t="n">
        <v>2445.85</v>
      </c>
      <c r="D923" s="14" t="n">
        <v>2330252</v>
      </c>
      <c r="E923" s="16" t="n">
        <f aca="false">COUNTIFS($A$2:$A$1561,A923,$B$2:$B$1561,"&gt;"&amp;B923)+1</f>
        <v>119</v>
      </c>
      <c r="F923" s="16" t="n">
        <f aca="false">IF(A923=A922,C923-C922,"")</f>
        <v>-11.7400000000002</v>
      </c>
      <c r="G923" s="16" t="n">
        <f aca="false">IF(A923=A922,IF(F923&gt;0,F923,0),"")</f>
        <v>0</v>
      </c>
      <c r="H923" s="16" t="n">
        <f aca="false">IF(A923=A922,IF(F923&lt;0,-F923,0),"")</f>
        <v>11.7400000000002</v>
      </c>
    </row>
    <row r="924" customFormat="false" ht="15" hidden="false" customHeight="false" outlineLevel="0" collapsed="false">
      <c r="A924" s="14" t="s">
        <v>98</v>
      </c>
      <c r="B924" s="15" t="n">
        <v>46072</v>
      </c>
      <c r="C924" s="14" t="n">
        <v>2449.46</v>
      </c>
      <c r="D924" s="14" t="n">
        <v>2051027</v>
      </c>
      <c r="E924" s="16" t="n">
        <f aca="false">COUNTIFS($A$2:$A$1561,A924,$B$2:$B$1561,"&gt;"&amp;B924)+1</f>
        <v>118</v>
      </c>
      <c r="F924" s="16" t="n">
        <f aca="false">IF(A924=A923,C924-C923,"")</f>
        <v>3.61000000000013</v>
      </c>
      <c r="G924" s="16" t="n">
        <f aca="false">IF(A924=A923,IF(F924&gt;0,F924,0),"")</f>
        <v>3.61000000000013</v>
      </c>
      <c r="H924" s="16" t="n">
        <f aca="false">IF(A924=A923,IF(F924&lt;0,-F924,0),"")</f>
        <v>0</v>
      </c>
    </row>
    <row r="925" customFormat="false" ht="15" hidden="false" customHeight="false" outlineLevel="0" collapsed="false">
      <c r="A925" s="14" t="s">
        <v>98</v>
      </c>
      <c r="B925" s="15" t="n">
        <v>46073</v>
      </c>
      <c r="C925" s="14" t="n">
        <v>2445.52</v>
      </c>
      <c r="D925" s="14" t="n">
        <v>1567300</v>
      </c>
      <c r="E925" s="16" t="n">
        <f aca="false">COUNTIFS($A$2:$A$1561,A925,$B$2:$B$1561,"&gt;"&amp;B925)+1</f>
        <v>117</v>
      </c>
      <c r="F925" s="16" t="n">
        <f aca="false">IF(A925=A924,C925-C924,"")</f>
        <v>-3.94000000000005</v>
      </c>
      <c r="G925" s="16" t="n">
        <f aca="false">IF(A925=A924,IF(F925&gt;0,F925,0),"")</f>
        <v>0</v>
      </c>
      <c r="H925" s="16" t="n">
        <f aca="false">IF(A925=A924,IF(F925&lt;0,-F925,0),"")</f>
        <v>3.94000000000005</v>
      </c>
    </row>
    <row r="926" customFormat="false" ht="15" hidden="false" customHeight="false" outlineLevel="0" collapsed="false">
      <c r="A926" s="14" t="s">
        <v>98</v>
      </c>
      <c r="B926" s="15" t="n">
        <v>46076</v>
      </c>
      <c r="C926" s="14" t="n">
        <v>2440.65</v>
      </c>
      <c r="D926" s="14" t="n">
        <v>1023123</v>
      </c>
      <c r="E926" s="16" t="n">
        <f aca="false">COUNTIFS($A$2:$A$1561,A926,$B$2:$B$1561,"&gt;"&amp;B926)+1</f>
        <v>116</v>
      </c>
      <c r="F926" s="16" t="n">
        <f aca="false">IF(A926=A925,C926-C925,"")</f>
        <v>-4.86999999999989</v>
      </c>
      <c r="G926" s="16" t="n">
        <f aca="false">IF(A926=A925,IF(F926&gt;0,F926,0),"")</f>
        <v>0</v>
      </c>
      <c r="H926" s="16" t="n">
        <f aca="false">IF(A926=A925,IF(F926&lt;0,-F926,0),"")</f>
        <v>4.86999999999989</v>
      </c>
    </row>
    <row r="927" customFormat="false" ht="15" hidden="false" customHeight="false" outlineLevel="0" collapsed="false">
      <c r="A927" s="14" t="s">
        <v>98</v>
      </c>
      <c r="B927" s="15" t="n">
        <v>46077</v>
      </c>
      <c r="C927" s="14" t="n">
        <v>2442.53</v>
      </c>
      <c r="D927" s="14" t="n">
        <v>1494554</v>
      </c>
      <c r="E927" s="16" t="n">
        <f aca="false">COUNTIFS($A$2:$A$1561,A927,$B$2:$B$1561,"&gt;"&amp;B927)+1</f>
        <v>115</v>
      </c>
      <c r="F927" s="16" t="n">
        <f aca="false">IF(A927=A926,C927-C926,"")</f>
        <v>1.88000000000011</v>
      </c>
      <c r="G927" s="16" t="n">
        <f aca="false">IF(A927=A926,IF(F927&gt;0,F927,0),"")</f>
        <v>1.88000000000011</v>
      </c>
      <c r="H927" s="16" t="n">
        <f aca="false">IF(A927=A926,IF(F927&lt;0,-F927,0),"")</f>
        <v>0</v>
      </c>
    </row>
    <row r="928" customFormat="false" ht="15" hidden="false" customHeight="false" outlineLevel="0" collapsed="false">
      <c r="A928" s="14" t="s">
        <v>98</v>
      </c>
      <c r="B928" s="15" t="n">
        <v>46078</v>
      </c>
      <c r="C928" s="14" t="n">
        <v>2426.2</v>
      </c>
      <c r="D928" s="14" t="n">
        <v>2462636</v>
      </c>
      <c r="E928" s="16" t="n">
        <f aca="false">COUNTIFS($A$2:$A$1561,A928,$B$2:$B$1561,"&gt;"&amp;B928)+1</f>
        <v>114</v>
      </c>
      <c r="F928" s="16" t="n">
        <f aca="false">IF(A928=A927,C928-C927,"")</f>
        <v>-16.3300000000004</v>
      </c>
      <c r="G928" s="16" t="n">
        <f aca="false">IF(A928=A927,IF(F928&gt;0,F928,0),"")</f>
        <v>0</v>
      </c>
      <c r="H928" s="16" t="n">
        <f aca="false">IF(A928=A927,IF(F928&lt;0,-F928,0),"")</f>
        <v>16.3300000000004</v>
      </c>
    </row>
    <row r="929" customFormat="false" ht="15" hidden="false" customHeight="false" outlineLevel="0" collapsed="false">
      <c r="A929" s="14" t="s">
        <v>98</v>
      </c>
      <c r="B929" s="15" t="n">
        <v>46079</v>
      </c>
      <c r="C929" s="14" t="n">
        <v>2426.18</v>
      </c>
      <c r="D929" s="14" t="n">
        <v>2179462</v>
      </c>
      <c r="E929" s="16" t="n">
        <f aca="false">COUNTIFS($A$2:$A$1561,A929,$B$2:$B$1561,"&gt;"&amp;B929)+1</f>
        <v>113</v>
      </c>
      <c r="F929" s="16" t="n">
        <f aca="false">IF(A929=A928,C929-C928,"")</f>
        <v>-0.0199999999999818</v>
      </c>
      <c r="G929" s="16" t="n">
        <f aca="false">IF(A929=A928,IF(F929&gt;0,F929,0),"")</f>
        <v>0</v>
      </c>
      <c r="H929" s="16" t="n">
        <f aca="false">IF(A929=A928,IF(F929&lt;0,-F929,0),"")</f>
        <v>0.0199999999999818</v>
      </c>
    </row>
    <row r="930" customFormat="false" ht="15" hidden="false" customHeight="false" outlineLevel="0" collapsed="false">
      <c r="A930" s="14" t="s">
        <v>98</v>
      </c>
      <c r="B930" s="15" t="n">
        <v>46080</v>
      </c>
      <c r="C930" s="14" t="n">
        <v>2445.58</v>
      </c>
      <c r="D930" s="14" t="n">
        <v>1241409</v>
      </c>
      <c r="E930" s="16" t="n">
        <f aca="false">COUNTIFS($A$2:$A$1561,A930,$B$2:$B$1561,"&gt;"&amp;B930)+1</f>
        <v>112</v>
      </c>
      <c r="F930" s="16" t="n">
        <f aca="false">IF(A930=A929,C930-C929,"")</f>
        <v>19.4000000000001</v>
      </c>
      <c r="G930" s="16" t="n">
        <f aca="false">IF(A930=A929,IF(F930&gt;0,F930,0),"")</f>
        <v>19.4000000000001</v>
      </c>
      <c r="H930" s="16" t="n">
        <f aca="false">IF(A930=A929,IF(F930&lt;0,-F930,0),"")</f>
        <v>0</v>
      </c>
    </row>
    <row r="931" customFormat="false" ht="15" hidden="false" customHeight="false" outlineLevel="0" collapsed="false">
      <c r="A931" s="14" t="s">
        <v>98</v>
      </c>
      <c r="B931" s="15" t="n">
        <v>46083</v>
      </c>
      <c r="C931" s="14" t="n">
        <v>2443.11</v>
      </c>
      <c r="D931" s="14" t="n">
        <v>1625049</v>
      </c>
      <c r="E931" s="16" t="n">
        <f aca="false">COUNTIFS($A$2:$A$1561,A931,$B$2:$B$1561,"&gt;"&amp;B931)+1</f>
        <v>111</v>
      </c>
      <c r="F931" s="16" t="n">
        <f aca="false">IF(A931=A930,C931-C930,"")</f>
        <v>-2.4699999999998</v>
      </c>
      <c r="G931" s="16" t="n">
        <f aca="false">IF(A931=A930,IF(F931&gt;0,F931,0),"")</f>
        <v>0</v>
      </c>
      <c r="H931" s="16" t="n">
        <f aca="false">IF(A931=A930,IF(F931&lt;0,-F931,0),"")</f>
        <v>2.4699999999998</v>
      </c>
    </row>
    <row r="932" customFormat="false" ht="15" hidden="false" customHeight="false" outlineLevel="0" collapsed="false">
      <c r="A932" s="14" t="s">
        <v>98</v>
      </c>
      <c r="B932" s="15" t="n">
        <v>46084</v>
      </c>
      <c r="C932" s="14" t="n">
        <v>2432.18</v>
      </c>
      <c r="D932" s="14" t="n">
        <v>791845</v>
      </c>
      <c r="E932" s="16" t="n">
        <f aca="false">COUNTIFS($A$2:$A$1561,A932,$B$2:$B$1561,"&gt;"&amp;B932)+1</f>
        <v>110</v>
      </c>
      <c r="F932" s="16" t="n">
        <f aca="false">IF(A932=A931,C932-C931,"")</f>
        <v>-10.9300000000003</v>
      </c>
      <c r="G932" s="16" t="n">
        <f aca="false">IF(A932=A931,IF(F932&gt;0,F932,0),"")</f>
        <v>0</v>
      </c>
      <c r="H932" s="16" t="n">
        <f aca="false">IF(A932=A931,IF(F932&lt;0,-F932,0),"")</f>
        <v>10.9300000000003</v>
      </c>
    </row>
    <row r="933" customFormat="false" ht="15" hidden="false" customHeight="false" outlineLevel="0" collapsed="false">
      <c r="A933" s="14" t="s">
        <v>98</v>
      </c>
      <c r="B933" s="15" t="n">
        <v>46085</v>
      </c>
      <c r="C933" s="14" t="n">
        <v>2423.02</v>
      </c>
      <c r="D933" s="14" t="n">
        <v>2369516</v>
      </c>
      <c r="E933" s="16" t="n">
        <f aca="false">COUNTIFS($A$2:$A$1561,A933,$B$2:$B$1561,"&gt;"&amp;B933)+1</f>
        <v>109</v>
      </c>
      <c r="F933" s="16" t="n">
        <f aca="false">IF(A933=A932,C933-C932,"")</f>
        <v>-9.15999999999985</v>
      </c>
      <c r="G933" s="16" t="n">
        <f aca="false">IF(A933=A932,IF(F933&gt;0,F933,0),"")</f>
        <v>0</v>
      </c>
      <c r="H933" s="16" t="n">
        <f aca="false">IF(A933=A932,IF(F933&lt;0,-F933,0),"")</f>
        <v>9.15999999999985</v>
      </c>
    </row>
    <row r="934" customFormat="false" ht="15" hidden="false" customHeight="false" outlineLevel="0" collapsed="false">
      <c r="A934" s="14" t="s">
        <v>98</v>
      </c>
      <c r="B934" s="15" t="n">
        <v>46086</v>
      </c>
      <c r="C934" s="14" t="n">
        <v>2427.78</v>
      </c>
      <c r="D934" s="14" t="n">
        <v>1335156</v>
      </c>
      <c r="E934" s="16" t="n">
        <f aca="false">COUNTIFS($A$2:$A$1561,A934,$B$2:$B$1561,"&gt;"&amp;B934)+1</f>
        <v>108</v>
      </c>
      <c r="F934" s="16" t="n">
        <f aca="false">IF(A934=A933,C934-C933,"")</f>
        <v>4.76000000000022</v>
      </c>
      <c r="G934" s="16" t="n">
        <f aca="false">IF(A934=A933,IF(F934&gt;0,F934,0),"")</f>
        <v>4.76000000000022</v>
      </c>
      <c r="H934" s="16" t="n">
        <f aca="false">IF(A934=A933,IF(F934&lt;0,-F934,0),"")</f>
        <v>0</v>
      </c>
    </row>
    <row r="935" customFormat="false" ht="15" hidden="false" customHeight="false" outlineLevel="0" collapsed="false">
      <c r="A935" s="14" t="s">
        <v>98</v>
      </c>
      <c r="B935" s="15" t="n">
        <v>46087</v>
      </c>
      <c r="C935" s="14" t="n">
        <v>2413.9</v>
      </c>
      <c r="D935" s="14" t="n">
        <v>1159730</v>
      </c>
      <c r="E935" s="16" t="n">
        <f aca="false">COUNTIFS($A$2:$A$1561,A935,$B$2:$B$1561,"&gt;"&amp;B935)+1</f>
        <v>107</v>
      </c>
      <c r="F935" s="16" t="n">
        <f aca="false">IF(A935=A934,C935-C934,"")</f>
        <v>-13.8800000000001</v>
      </c>
      <c r="G935" s="16" t="n">
        <f aca="false">IF(A935=A934,IF(F935&gt;0,F935,0),"")</f>
        <v>0</v>
      </c>
      <c r="H935" s="16" t="n">
        <f aca="false">IF(A935=A934,IF(F935&lt;0,-F935,0),"")</f>
        <v>13.8800000000001</v>
      </c>
    </row>
    <row r="936" customFormat="false" ht="15" hidden="false" customHeight="false" outlineLevel="0" collapsed="false">
      <c r="A936" s="14" t="s">
        <v>98</v>
      </c>
      <c r="B936" s="15" t="n">
        <v>46090</v>
      </c>
      <c r="C936" s="14" t="n">
        <v>2409.98</v>
      </c>
      <c r="D936" s="14" t="n">
        <v>2166725</v>
      </c>
      <c r="E936" s="16" t="n">
        <f aca="false">COUNTIFS($A$2:$A$1561,A936,$B$2:$B$1561,"&gt;"&amp;B936)+1</f>
        <v>106</v>
      </c>
      <c r="F936" s="16" t="n">
        <f aca="false">IF(A936=A935,C936-C935,"")</f>
        <v>-3.92000000000007</v>
      </c>
      <c r="G936" s="16" t="n">
        <f aca="false">IF(A936=A935,IF(F936&gt;0,F936,0),"")</f>
        <v>0</v>
      </c>
      <c r="H936" s="16" t="n">
        <f aca="false">IF(A936=A935,IF(F936&lt;0,-F936,0),"")</f>
        <v>3.92000000000007</v>
      </c>
    </row>
    <row r="937" customFormat="false" ht="15" hidden="false" customHeight="false" outlineLevel="0" collapsed="false">
      <c r="A937" s="14" t="s">
        <v>98</v>
      </c>
      <c r="B937" s="15" t="n">
        <v>46091</v>
      </c>
      <c r="C937" s="14" t="n">
        <v>2411.25</v>
      </c>
      <c r="D937" s="14" t="n">
        <v>1809215</v>
      </c>
      <c r="E937" s="16" t="n">
        <f aca="false">COUNTIFS($A$2:$A$1561,A937,$B$2:$B$1561,"&gt;"&amp;B937)+1</f>
        <v>105</v>
      </c>
      <c r="F937" s="16" t="n">
        <f aca="false">IF(A937=A936,C937-C936,"")</f>
        <v>1.26999999999998</v>
      </c>
      <c r="G937" s="16" t="n">
        <f aca="false">IF(A937=A936,IF(F937&gt;0,F937,0),"")</f>
        <v>1.26999999999998</v>
      </c>
      <c r="H937" s="16" t="n">
        <f aca="false">IF(A937=A936,IF(F937&lt;0,-F937,0),"")</f>
        <v>0</v>
      </c>
    </row>
    <row r="938" customFormat="false" ht="15" hidden="false" customHeight="false" outlineLevel="0" collapsed="false">
      <c r="A938" s="14" t="s">
        <v>98</v>
      </c>
      <c r="B938" s="15" t="n">
        <v>46092</v>
      </c>
      <c r="C938" s="14" t="n">
        <v>2420.58</v>
      </c>
      <c r="D938" s="14" t="n">
        <v>1014653</v>
      </c>
      <c r="E938" s="16" t="n">
        <f aca="false">COUNTIFS($A$2:$A$1561,A938,$B$2:$B$1561,"&gt;"&amp;B938)+1</f>
        <v>104</v>
      </c>
      <c r="F938" s="16" t="n">
        <f aca="false">IF(A938=A937,C938-C937,"")</f>
        <v>9.32999999999993</v>
      </c>
      <c r="G938" s="16" t="n">
        <f aca="false">IF(A938=A937,IF(F938&gt;0,F938,0),"")</f>
        <v>9.32999999999993</v>
      </c>
      <c r="H938" s="16" t="n">
        <f aca="false">IF(A938=A937,IF(F938&lt;0,-F938,0),"")</f>
        <v>0</v>
      </c>
    </row>
    <row r="939" customFormat="false" ht="15" hidden="false" customHeight="false" outlineLevel="0" collapsed="false">
      <c r="A939" s="14" t="s">
        <v>98</v>
      </c>
      <c r="B939" s="15" t="n">
        <v>46093</v>
      </c>
      <c r="C939" s="14" t="n">
        <v>2435.9</v>
      </c>
      <c r="D939" s="14" t="n">
        <v>2433016</v>
      </c>
      <c r="E939" s="16" t="n">
        <f aca="false">COUNTIFS($A$2:$A$1561,A939,$B$2:$B$1561,"&gt;"&amp;B939)+1</f>
        <v>103</v>
      </c>
      <c r="F939" s="16" t="n">
        <f aca="false">IF(A939=A938,C939-C938,"")</f>
        <v>15.3200000000002</v>
      </c>
      <c r="G939" s="16" t="n">
        <f aca="false">IF(A939=A938,IF(F939&gt;0,F939,0),"")</f>
        <v>15.3200000000002</v>
      </c>
      <c r="H939" s="16" t="n">
        <f aca="false">IF(A939=A938,IF(F939&lt;0,-F939,0),"")</f>
        <v>0</v>
      </c>
    </row>
    <row r="940" customFormat="false" ht="15" hidden="false" customHeight="false" outlineLevel="0" collapsed="false">
      <c r="A940" s="14" t="s">
        <v>98</v>
      </c>
      <c r="B940" s="15" t="n">
        <v>46094</v>
      </c>
      <c r="C940" s="14" t="n">
        <v>2443.42</v>
      </c>
      <c r="D940" s="14" t="n">
        <v>1481191</v>
      </c>
      <c r="E940" s="16" t="n">
        <f aca="false">COUNTIFS($A$2:$A$1561,A940,$B$2:$B$1561,"&gt;"&amp;B940)+1</f>
        <v>102</v>
      </c>
      <c r="F940" s="16" t="n">
        <f aca="false">IF(A940=A939,C940-C939,"")</f>
        <v>7.51999999999998</v>
      </c>
      <c r="G940" s="16" t="n">
        <f aca="false">IF(A940=A939,IF(F940&gt;0,F940,0),"")</f>
        <v>7.51999999999998</v>
      </c>
      <c r="H940" s="16" t="n">
        <f aca="false">IF(A940=A939,IF(F940&lt;0,-F940,0),"")</f>
        <v>0</v>
      </c>
    </row>
    <row r="941" customFormat="false" ht="15" hidden="false" customHeight="false" outlineLevel="0" collapsed="false">
      <c r="A941" s="14" t="s">
        <v>98</v>
      </c>
      <c r="B941" s="15" t="n">
        <v>46097</v>
      </c>
      <c r="C941" s="14" t="n">
        <v>2430.15</v>
      </c>
      <c r="D941" s="14" t="n">
        <v>2089951</v>
      </c>
      <c r="E941" s="16" t="n">
        <f aca="false">COUNTIFS($A$2:$A$1561,A941,$B$2:$B$1561,"&gt;"&amp;B941)+1</f>
        <v>101</v>
      </c>
      <c r="F941" s="16" t="n">
        <f aca="false">IF(A941=A940,C941-C940,"")</f>
        <v>-13.27</v>
      </c>
      <c r="G941" s="16" t="n">
        <f aca="false">IF(A941=A940,IF(F941&gt;0,F941,0),"")</f>
        <v>0</v>
      </c>
      <c r="H941" s="16" t="n">
        <f aca="false">IF(A941=A940,IF(F941&lt;0,-F941,0),"")</f>
        <v>13.27</v>
      </c>
    </row>
    <row r="942" customFormat="false" ht="15" hidden="false" customHeight="false" outlineLevel="0" collapsed="false">
      <c r="A942" s="14" t="s">
        <v>98</v>
      </c>
      <c r="B942" s="15" t="n">
        <v>46098</v>
      </c>
      <c r="C942" s="14" t="n">
        <v>2417</v>
      </c>
      <c r="D942" s="14" t="n">
        <v>1940627</v>
      </c>
      <c r="E942" s="16" t="n">
        <f aca="false">COUNTIFS($A$2:$A$1561,A942,$B$2:$B$1561,"&gt;"&amp;B942)+1</f>
        <v>100</v>
      </c>
      <c r="F942" s="16" t="n">
        <f aca="false">IF(A942=A941,C942-C941,"")</f>
        <v>-13.1500000000001</v>
      </c>
      <c r="G942" s="16" t="n">
        <f aca="false">IF(A942=A941,IF(F942&gt;0,F942,0),"")</f>
        <v>0</v>
      </c>
      <c r="H942" s="16" t="n">
        <f aca="false">IF(A942=A941,IF(F942&lt;0,-F942,0),"")</f>
        <v>13.1500000000001</v>
      </c>
    </row>
    <row r="943" customFormat="false" ht="15" hidden="false" customHeight="false" outlineLevel="0" collapsed="false">
      <c r="A943" s="14" t="s">
        <v>98</v>
      </c>
      <c r="B943" s="15" t="n">
        <v>46099</v>
      </c>
      <c r="C943" s="14" t="n">
        <v>2417.79</v>
      </c>
      <c r="D943" s="14" t="n">
        <v>2333798</v>
      </c>
      <c r="E943" s="16" t="n">
        <f aca="false">COUNTIFS($A$2:$A$1561,A943,$B$2:$B$1561,"&gt;"&amp;B943)+1</f>
        <v>99</v>
      </c>
      <c r="F943" s="16" t="n">
        <f aca="false">IF(A943=A942,C943-C942,"")</f>
        <v>0.789999999999964</v>
      </c>
      <c r="G943" s="16" t="n">
        <f aca="false">IF(A943=A942,IF(F943&gt;0,F943,0),"")</f>
        <v>0.789999999999964</v>
      </c>
      <c r="H943" s="16" t="n">
        <f aca="false">IF(A943=A942,IF(F943&lt;0,-F943,0),"")</f>
        <v>0</v>
      </c>
    </row>
    <row r="944" customFormat="false" ht="15" hidden="false" customHeight="false" outlineLevel="0" collapsed="false">
      <c r="A944" s="14" t="s">
        <v>98</v>
      </c>
      <c r="B944" s="15" t="n">
        <v>46100</v>
      </c>
      <c r="C944" s="14" t="n">
        <v>2420.93</v>
      </c>
      <c r="D944" s="14" t="n">
        <v>1783618</v>
      </c>
      <c r="E944" s="16" t="n">
        <f aca="false">COUNTIFS($A$2:$A$1561,A944,$B$2:$B$1561,"&gt;"&amp;B944)+1</f>
        <v>98</v>
      </c>
      <c r="F944" s="16" t="n">
        <f aca="false">IF(A944=A943,C944-C943,"")</f>
        <v>3.13999999999987</v>
      </c>
      <c r="G944" s="16" t="n">
        <f aca="false">IF(A944=A943,IF(F944&gt;0,F944,0),"")</f>
        <v>3.13999999999987</v>
      </c>
      <c r="H944" s="16" t="n">
        <f aca="false">IF(A944=A943,IF(F944&lt;0,-F944,0),"")</f>
        <v>0</v>
      </c>
    </row>
    <row r="945" customFormat="false" ht="15" hidden="false" customHeight="false" outlineLevel="0" collapsed="false">
      <c r="A945" s="14" t="s">
        <v>98</v>
      </c>
      <c r="B945" s="15" t="n">
        <v>46101</v>
      </c>
      <c r="C945" s="14" t="n">
        <v>2403.01</v>
      </c>
      <c r="D945" s="14" t="n">
        <v>567647</v>
      </c>
      <c r="E945" s="16" t="n">
        <f aca="false">COUNTIFS($A$2:$A$1561,A945,$B$2:$B$1561,"&gt;"&amp;B945)+1</f>
        <v>97</v>
      </c>
      <c r="F945" s="16" t="n">
        <f aca="false">IF(A945=A944,C945-C944,"")</f>
        <v>-17.9199999999996</v>
      </c>
      <c r="G945" s="16" t="n">
        <f aca="false">IF(A945=A944,IF(F945&gt;0,F945,0),"")</f>
        <v>0</v>
      </c>
      <c r="H945" s="16" t="n">
        <f aca="false">IF(A945=A944,IF(F945&lt;0,-F945,0),"")</f>
        <v>17.9199999999996</v>
      </c>
    </row>
    <row r="946" customFormat="false" ht="15" hidden="false" customHeight="false" outlineLevel="0" collapsed="false">
      <c r="A946" s="14" t="s">
        <v>98</v>
      </c>
      <c r="B946" s="15" t="n">
        <v>46104</v>
      </c>
      <c r="C946" s="14" t="n">
        <v>2419.3</v>
      </c>
      <c r="D946" s="14" t="n">
        <v>2390376</v>
      </c>
      <c r="E946" s="16" t="n">
        <f aca="false">COUNTIFS($A$2:$A$1561,A946,$B$2:$B$1561,"&gt;"&amp;B946)+1</f>
        <v>96</v>
      </c>
      <c r="F946" s="16" t="n">
        <f aca="false">IF(A946=A945,C946-C945,"")</f>
        <v>16.29</v>
      </c>
      <c r="G946" s="16" t="n">
        <f aca="false">IF(A946=A945,IF(F946&gt;0,F946,0),"")</f>
        <v>16.29</v>
      </c>
      <c r="H946" s="16" t="n">
        <f aca="false">IF(A946=A945,IF(F946&lt;0,-F946,0),"")</f>
        <v>0</v>
      </c>
    </row>
    <row r="947" customFormat="false" ht="15" hidden="false" customHeight="false" outlineLevel="0" collapsed="false">
      <c r="A947" s="14" t="s">
        <v>98</v>
      </c>
      <c r="B947" s="15" t="n">
        <v>46105</v>
      </c>
      <c r="C947" s="14" t="n">
        <v>2427.94</v>
      </c>
      <c r="D947" s="14" t="n">
        <v>2028677</v>
      </c>
      <c r="E947" s="16" t="n">
        <f aca="false">COUNTIFS($A$2:$A$1561,A947,$B$2:$B$1561,"&gt;"&amp;B947)+1</f>
        <v>95</v>
      </c>
      <c r="F947" s="16" t="n">
        <f aca="false">IF(A947=A946,C947-C946,"")</f>
        <v>8.63999999999987</v>
      </c>
      <c r="G947" s="16" t="n">
        <f aca="false">IF(A947=A946,IF(F947&gt;0,F947,0),"")</f>
        <v>8.63999999999987</v>
      </c>
      <c r="H947" s="16" t="n">
        <f aca="false">IF(A947=A946,IF(F947&lt;0,-F947,0),"")</f>
        <v>0</v>
      </c>
    </row>
    <row r="948" customFormat="false" ht="15" hidden="false" customHeight="false" outlineLevel="0" collapsed="false">
      <c r="A948" s="14" t="s">
        <v>98</v>
      </c>
      <c r="B948" s="15" t="n">
        <v>46106</v>
      </c>
      <c r="C948" s="14" t="n">
        <v>2425.42</v>
      </c>
      <c r="D948" s="14" t="n">
        <v>2185089</v>
      </c>
      <c r="E948" s="16" t="n">
        <f aca="false">COUNTIFS($A$2:$A$1561,A948,$B$2:$B$1561,"&gt;"&amp;B948)+1</f>
        <v>94</v>
      </c>
      <c r="F948" s="16" t="n">
        <f aca="false">IF(A948=A947,C948-C947,"")</f>
        <v>-2.51999999999998</v>
      </c>
      <c r="G948" s="16" t="n">
        <f aca="false">IF(A948=A947,IF(F948&gt;0,F948,0),"")</f>
        <v>0</v>
      </c>
      <c r="H948" s="16" t="n">
        <f aca="false">IF(A948=A947,IF(F948&lt;0,-F948,0),"")</f>
        <v>2.51999999999998</v>
      </c>
    </row>
    <row r="949" customFormat="false" ht="15" hidden="false" customHeight="false" outlineLevel="0" collapsed="false">
      <c r="A949" s="14" t="s">
        <v>98</v>
      </c>
      <c r="B949" s="15" t="n">
        <v>46107</v>
      </c>
      <c r="C949" s="14" t="n">
        <v>2415</v>
      </c>
      <c r="D949" s="14" t="n">
        <v>1914339</v>
      </c>
      <c r="E949" s="16" t="n">
        <f aca="false">COUNTIFS($A$2:$A$1561,A949,$B$2:$B$1561,"&gt;"&amp;B949)+1</f>
        <v>93</v>
      </c>
      <c r="F949" s="16" t="n">
        <f aca="false">IF(A949=A948,C949-C948,"")</f>
        <v>-10.4200000000001</v>
      </c>
      <c r="G949" s="16" t="n">
        <f aca="false">IF(A949=A948,IF(F949&gt;0,F949,0),"")</f>
        <v>0</v>
      </c>
      <c r="H949" s="16" t="n">
        <f aca="false">IF(A949=A948,IF(F949&lt;0,-F949,0),"")</f>
        <v>10.4200000000001</v>
      </c>
    </row>
    <row r="950" customFormat="false" ht="15" hidden="false" customHeight="false" outlineLevel="0" collapsed="false">
      <c r="A950" s="14" t="s">
        <v>98</v>
      </c>
      <c r="B950" s="15" t="n">
        <v>46108</v>
      </c>
      <c r="C950" s="14" t="n">
        <v>2394.97</v>
      </c>
      <c r="D950" s="14" t="n">
        <v>1511465</v>
      </c>
      <c r="E950" s="16" t="n">
        <f aca="false">COUNTIFS($A$2:$A$1561,A950,$B$2:$B$1561,"&gt;"&amp;B950)+1</f>
        <v>92</v>
      </c>
      <c r="F950" s="16" t="n">
        <f aca="false">IF(A950=A949,C950-C949,"")</f>
        <v>-20.0300000000002</v>
      </c>
      <c r="G950" s="16" t="n">
        <f aca="false">IF(A950=A949,IF(F950&gt;0,F950,0),"")</f>
        <v>0</v>
      </c>
      <c r="H950" s="16" t="n">
        <f aca="false">IF(A950=A949,IF(F950&lt;0,-F950,0),"")</f>
        <v>20.0300000000002</v>
      </c>
    </row>
    <row r="951" customFormat="false" ht="15" hidden="false" customHeight="false" outlineLevel="0" collapsed="false">
      <c r="A951" s="14" t="s">
        <v>98</v>
      </c>
      <c r="B951" s="15" t="n">
        <v>46111</v>
      </c>
      <c r="C951" s="14" t="n">
        <v>2390.8</v>
      </c>
      <c r="D951" s="14" t="n">
        <v>1735670</v>
      </c>
      <c r="E951" s="16" t="n">
        <f aca="false">COUNTIFS($A$2:$A$1561,A951,$B$2:$B$1561,"&gt;"&amp;B951)+1</f>
        <v>91</v>
      </c>
      <c r="F951" s="16" t="n">
        <f aca="false">IF(A951=A950,C951-C950,"")</f>
        <v>-4.16999999999962</v>
      </c>
      <c r="G951" s="16" t="n">
        <f aca="false">IF(A951=A950,IF(F951&gt;0,F951,0),"")</f>
        <v>0</v>
      </c>
      <c r="H951" s="16" t="n">
        <f aca="false">IF(A951=A950,IF(F951&lt;0,-F951,0),"")</f>
        <v>4.16999999999962</v>
      </c>
    </row>
    <row r="952" customFormat="false" ht="15" hidden="false" customHeight="false" outlineLevel="0" collapsed="false">
      <c r="A952" s="14" t="s">
        <v>98</v>
      </c>
      <c r="B952" s="15" t="n">
        <v>46112</v>
      </c>
      <c r="C952" s="14" t="n">
        <v>2399.26</v>
      </c>
      <c r="D952" s="14" t="n">
        <v>1733038</v>
      </c>
      <c r="E952" s="16" t="n">
        <f aca="false">COUNTIFS($A$2:$A$1561,A952,$B$2:$B$1561,"&gt;"&amp;B952)+1</f>
        <v>90</v>
      </c>
      <c r="F952" s="16" t="n">
        <f aca="false">IF(A952=A951,C952-C951,"")</f>
        <v>8.46000000000004</v>
      </c>
      <c r="G952" s="16" t="n">
        <f aca="false">IF(A952=A951,IF(F952&gt;0,F952,0),"")</f>
        <v>8.46000000000004</v>
      </c>
      <c r="H952" s="16" t="n">
        <f aca="false">IF(A952=A951,IF(F952&lt;0,-F952,0),"")</f>
        <v>0</v>
      </c>
    </row>
    <row r="953" customFormat="false" ht="15" hidden="false" customHeight="false" outlineLevel="0" collapsed="false">
      <c r="A953" s="14" t="s">
        <v>98</v>
      </c>
      <c r="B953" s="15" t="n">
        <v>46113</v>
      </c>
      <c r="C953" s="14" t="n">
        <v>2399.83</v>
      </c>
      <c r="D953" s="14" t="n">
        <v>1475708</v>
      </c>
      <c r="E953" s="16" t="n">
        <f aca="false">COUNTIFS($A$2:$A$1561,A953,$B$2:$B$1561,"&gt;"&amp;B953)+1</f>
        <v>89</v>
      </c>
      <c r="F953" s="16" t="n">
        <f aca="false">IF(A953=A952,C953-C952,"")</f>
        <v>0.569999999999709</v>
      </c>
      <c r="G953" s="16" t="n">
        <f aca="false">IF(A953=A952,IF(F953&gt;0,F953,0),"")</f>
        <v>0.569999999999709</v>
      </c>
      <c r="H953" s="16" t="n">
        <f aca="false">IF(A953=A952,IF(F953&lt;0,-F953,0),"")</f>
        <v>0</v>
      </c>
    </row>
    <row r="954" customFormat="false" ht="15" hidden="false" customHeight="false" outlineLevel="0" collapsed="false">
      <c r="A954" s="14" t="s">
        <v>98</v>
      </c>
      <c r="B954" s="15" t="n">
        <v>46114</v>
      </c>
      <c r="C954" s="14" t="n">
        <v>2379.82</v>
      </c>
      <c r="D954" s="14" t="n">
        <v>1603287</v>
      </c>
      <c r="E954" s="16" t="n">
        <f aca="false">COUNTIFS($A$2:$A$1561,A954,$B$2:$B$1561,"&gt;"&amp;B954)+1</f>
        <v>88</v>
      </c>
      <c r="F954" s="16" t="n">
        <f aca="false">IF(A954=A953,C954-C953,"")</f>
        <v>-20.0099999999998</v>
      </c>
      <c r="G954" s="16" t="n">
        <f aca="false">IF(A954=A953,IF(F954&gt;0,F954,0),"")</f>
        <v>0</v>
      </c>
      <c r="H954" s="16" t="n">
        <f aca="false">IF(A954=A953,IF(F954&lt;0,-F954,0),"")</f>
        <v>20.0099999999998</v>
      </c>
    </row>
    <row r="955" customFormat="false" ht="15" hidden="false" customHeight="false" outlineLevel="0" collapsed="false">
      <c r="A955" s="14" t="s">
        <v>98</v>
      </c>
      <c r="B955" s="15" t="n">
        <v>46115</v>
      </c>
      <c r="C955" s="14" t="n">
        <v>2360.19</v>
      </c>
      <c r="D955" s="14" t="n">
        <v>1558835</v>
      </c>
      <c r="E955" s="16" t="n">
        <f aca="false">COUNTIFS($A$2:$A$1561,A955,$B$2:$B$1561,"&gt;"&amp;B955)+1</f>
        <v>87</v>
      </c>
      <c r="F955" s="16" t="n">
        <f aca="false">IF(A955=A954,C955-C954,"")</f>
        <v>-19.6300000000001</v>
      </c>
      <c r="G955" s="16" t="n">
        <f aca="false">IF(A955=A954,IF(F955&gt;0,F955,0),"")</f>
        <v>0</v>
      </c>
      <c r="H955" s="16" t="n">
        <f aca="false">IF(A955=A954,IF(F955&lt;0,-F955,0),"")</f>
        <v>19.6300000000001</v>
      </c>
    </row>
    <row r="956" customFormat="false" ht="15" hidden="false" customHeight="false" outlineLevel="0" collapsed="false">
      <c r="A956" s="14" t="s">
        <v>98</v>
      </c>
      <c r="B956" s="15" t="n">
        <v>46118</v>
      </c>
      <c r="C956" s="14" t="n">
        <v>2351.9</v>
      </c>
      <c r="D956" s="14" t="n">
        <v>2454958</v>
      </c>
      <c r="E956" s="16" t="n">
        <f aca="false">COUNTIFS($A$2:$A$1561,A956,$B$2:$B$1561,"&gt;"&amp;B956)+1</f>
        <v>86</v>
      </c>
      <c r="F956" s="16" t="n">
        <f aca="false">IF(A956=A955,C956-C955,"")</f>
        <v>-8.28999999999996</v>
      </c>
      <c r="G956" s="16" t="n">
        <f aca="false">IF(A956=A955,IF(F956&gt;0,F956,0),"")</f>
        <v>0</v>
      </c>
      <c r="H956" s="16" t="n">
        <f aca="false">IF(A956=A955,IF(F956&lt;0,-F956,0),"")</f>
        <v>8.28999999999996</v>
      </c>
    </row>
    <row r="957" customFormat="false" ht="15" hidden="false" customHeight="false" outlineLevel="0" collapsed="false">
      <c r="A957" s="14" t="s">
        <v>98</v>
      </c>
      <c r="B957" s="15" t="n">
        <v>46119</v>
      </c>
      <c r="C957" s="14" t="n">
        <v>2332.73</v>
      </c>
      <c r="D957" s="14" t="n">
        <v>2126314</v>
      </c>
      <c r="E957" s="16" t="n">
        <f aca="false">COUNTIFS($A$2:$A$1561,A957,$B$2:$B$1561,"&gt;"&amp;B957)+1</f>
        <v>85</v>
      </c>
      <c r="F957" s="16" t="n">
        <f aca="false">IF(A957=A956,C957-C956,"")</f>
        <v>-19.1700000000001</v>
      </c>
      <c r="G957" s="16" t="n">
        <f aca="false">IF(A957=A956,IF(F957&gt;0,F957,0),"")</f>
        <v>0</v>
      </c>
      <c r="H957" s="16" t="n">
        <f aca="false">IF(A957=A956,IF(F957&lt;0,-F957,0),"")</f>
        <v>19.1700000000001</v>
      </c>
    </row>
    <row r="958" customFormat="false" ht="15" hidden="false" customHeight="false" outlineLevel="0" collapsed="false">
      <c r="A958" s="14" t="s">
        <v>98</v>
      </c>
      <c r="B958" s="15" t="n">
        <v>46120</v>
      </c>
      <c r="C958" s="14" t="n">
        <v>2341.29</v>
      </c>
      <c r="D958" s="14" t="n">
        <v>2112335</v>
      </c>
      <c r="E958" s="16" t="n">
        <f aca="false">COUNTIFS($A$2:$A$1561,A958,$B$2:$B$1561,"&gt;"&amp;B958)+1</f>
        <v>84</v>
      </c>
      <c r="F958" s="16" t="n">
        <f aca="false">IF(A958=A957,C958-C957,"")</f>
        <v>8.55999999999995</v>
      </c>
      <c r="G958" s="16" t="n">
        <f aca="false">IF(A958=A957,IF(F958&gt;0,F958,0),"")</f>
        <v>8.55999999999995</v>
      </c>
      <c r="H958" s="16" t="n">
        <f aca="false">IF(A958=A957,IF(F958&lt;0,-F958,0),"")</f>
        <v>0</v>
      </c>
    </row>
    <row r="959" customFormat="false" ht="15" hidden="false" customHeight="false" outlineLevel="0" collapsed="false">
      <c r="A959" s="14" t="s">
        <v>98</v>
      </c>
      <c r="B959" s="15" t="n">
        <v>46121</v>
      </c>
      <c r="C959" s="14" t="n">
        <v>2359.83</v>
      </c>
      <c r="D959" s="14" t="n">
        <v>714032</v>
      </c>
      <c r="E959" s="16" t="n">
        <f aca="false">COUNTIFS($A$2:$A$1561,A959,$B$2:$B$1561,"&gt;"&amp;B959)+1</f>
        <v>83</v>
      </c>
      <c r="F959" s="16" t="n">
        <f aca="false">IF(A959=A958,C959-C958,"")</f>
        <v>18.54</v>
      </c>
      <c r="G959" s="16" t="n">
        <f aca="false">IF(A959=A958,IF(F959&gt;0,F959,0),"")</f>
        <v>18.54</v>
      </c>
      <c r="H959" s="16" t="n">
        <f aca="false">IF(A959=A958,IF(F959&lt;0,-F959,0),"")</f>
        <v>0</v>
      </c>
    </row>
    <row r="960" customFormat="false" ht="15" hidden="false" customHeight="false" outlineLevel="0" collapsed="false">
      <c r="A960" s="14" t="s">
        <v>98</v>
      </c>
      <c r="B960" s="15" t="n">
        <v>46122</v>
      </c>
      <c r="C960" s="14" t="n">
        <v>2343.95</v>
      </c>
      <c r="D960" s="14" t="n">
        <v>797794</v>
      </c>
      <c r="E960" s="16" t="n">
        <f aca="false">COUNTIFS($A$2:$A$1561,A960,$B$2:$B$1561,"&gt;"&amp;B960)+1</f>
        <v>82</v>
      </c>
      <c r="F960" s="16" t="n">
        <f aca="false">IF(A960=A959,C960-C959,"")</f>
        <v>-15.8800000000001</v>
      </c>
      <c r="G960" s="16" t="n">
        <f aca="false">IF(A960=A959,IF(F960&gt;0,F960,0),"")</f>
        <v>0</v>
      </c>
      <c r="H960" s="16" t="n">
        <f aca="false">IF(A960=A959,IF(F960&lt;0,-F960,0),"")</f>
        <v>15.8800000000001</v>
      </c>
    </row>
    <row r="961" customFormat="false" ht="15" hidden="false" customHeight="false" outlineLevel="0" collapsed="false">
      <c r="A961" s="14" t="s">
        <v>98</v>
      </c>
      <c r="B961" s="15" t="n">
        <v>46125</v>
      </c>
      <c r="C961" s="14" t="n">
        <v>2332.22</v>
      </c>
      <c r="D961" s="14" t="n">
        <v>1552911</v>
      </c>
      <c r="E961" s="16" t="n">
        <f aca="false">COUNTIFS($A$2:$A$1561,A961,$B$2:$B$1561,"&gt;"&amp;B961)+1</f>
        <v>81</v>
      </c>
      <c r="F961" s="16" t="n">
        <f aca="false">IF(A961=A960,C961-C960,"")</f>
        <v>-11.73</v>
      </c>
      <c r="G961" s="16" t="n">
        <f aca="false">IF(A961=A960,IF(F961&gt;0,F961,0),"")</f>
        <v>0</v>
      </c>
      <c r="H961" s="16" t="n">
        <f aca="false">IF(A961=A960,IF(F961&lt;0,-F961,0),"")</f>
        <v>11.73</v>
      </c>
    </row>
    <row r="962" customFormat="false" ht="15" hidden="false" customHeight="false" outlineLevel="0" collapsed="false">
      <c r="A962" s="14" t="s">
        <v>98</v>
      </c>
      <c r="B962" s="15" t="n">
        <v>46126</v>
      </c>
      <c r="C962" s="14" t="n">
        <v>2346.71</v>
      </c>
      <c r="D962" s="14" t="n">
        <v>1034649</v>
      </c>
      <c r="E962" s="16" t="n">
        <f aca="false">COUNTIFS($A$2:$A$1561,A962,$B$2:$B$1561,"&gt;"&amp;B962)+1</f>
        <v>80</v>
      </c>
      <c r="F962" s="16" t="n">
        <f aca="false">IF(A962=A961,C962-C961,"")</f>
        <v>14.4900000000002</v>
      </c>
      <c r="G962" s="16" t="n">
        <f aca="false">IF(A962=A961,IF(F962&gt;0,F962,0),"")</f>
        <v>14.4900000000002</v>
      </c>
      <c r="H962" s="16" t="n">
        <f aca="false">IF(A962=A961,IF(F962&lt;0,-F962,0),"")</f>
        <v>0</v>
      </c>
    </row>
    <row r="963" customFormat="false" ht="15" hidden="false" customHeight="false" outlineLevel="0" collapsed="false">
      <c r="A963" s="14" t="s">
        <v>98</v>
      </c>
      <c r="B963" s="15" t="n">
        <v>46127</v>
      </c>
      <c r="C963" s="14" t="n">
        <v>2343.63</v>
      </c>
      <c r="D963" s="14" t="n">
        <v>1246103</v>
      </c>
      <c r="E963" s="16" t="n">
        <f aca="false">COUNTIFS($A$2:$A$1561,A963,$B$2:$B$1561,"&gt;"&amp;B963)+1</f>
        <v>79</v>
      </c>
      <c r="F963" s="16" t="n">
        <f aca="false">IF(A963=A962,C963-C962,"")</f>
        <v>-3.07999999999993</v>
      </c>
      <c r="G963" s="16" t="n">
        <f aca="false">IF(A963=A962,IF(F963&gt;0,F963,0),"")</f>
        <v>0</v>
      </c>
      <c r="H963" s="16" t="n">
        <f aca="false">IF(A963=A962,IF(F963&lt;0,-F963,0),"")</f>
        <v>3.07999999999993</v>
      </c>
    </row>
    <row r="964" customFormat="false" ht="15" hidden="false" customHeight="false" outlineLevel="0" collapsed="false">
      <c r="A964" s="14" t="s">
        <v>98</v>
      </c>
      <c r="B964" s="15" t="n">
        <v>46128</v>
      </c>
      <c r="C964" s="14" t="n">
        <v>2340.93</v>
      </c>
      <c r="D964" s="14" t="n">
        <v>1630004</v>
      </c>
      <c r="E964" s="16" t="n">
        <f aca="false">COUNTIFS($A$2:$A$1561,A964,$B$2:$B$1561,"&gt;"&amp;B964)+1</f>
        <v>78</v>
      </c>
      <c r="F964" s="16" t="n">
        <f aca="false">IF(A964=A963,C964-C963,"")</f>
        <v>-2.70000000000027</v>
      </c>
      <c r="G964" s="16" t="n">
        <f aca="false">IF(A964=A963,IF(F964&gt;0,F964,0),"")</f>
        <v>0</v>
      </c>
      <c r="H964" s="16" t="n">
        <f aca="false">IF(A964=A963,IF(F964&lt;0,-F964,0),"")</f>
        <v>2.70000000000027</v>
      </c>
    </row>
    <row r="965" customFormat="false" ht="15" hidden="false" customHeight="false" outlineLevel="0" collapsed="false">
      <c r="A965" s="14" t="s">
        <v>98</v>
      </c>
      <c r="B965" s="15" t="n">
        <v>46129</v>
      </c>
      <c r="C965" s="14" t="n">
        <v>2362.85</v>
      </c>
      <c r="D965" s="14" t="n">
        <v>951714</v>
      </c>
      <c r="E965" s="16" t="n">
        <f aca="false">COUNTIFS($A$2:$A$1561,A965,$B$2:$B$1561,"&gt;"&amp;B965)+1</f>
        <v>77</v>
      </c>
      <c r="F965" s="16" t="n">
        <f aca="false">IF(A965=A964,C965-C964,"")</f>
        <v>21.9200000000001</v>
      </c>
      <c r="G965" s="16" t="n">
        <f aca="false">IF(A965=A964,IF(F965&gt;0,F965,0),"")</f>
        <v>21.9200000000001</v>
      </c>
      <c r="H965" s="16" t="n">
        <f aca="false">IF(A965=A964,IF(F965&lt;0,-F965,0),"")</f>
        <v>0</v>
      </c>
    </row>
    <row r="966" customFormat="false" ht="15" hidden="false" customHeight="false" outlineLevel="0" collapsed="false">
      <c r="A966" s="14" t="s">
        <v>98</v>
      </c>
      <c r="B966" s="15" t="n">
        <v>46132</v>
      </c>
      <c r="C966" s="14" t="n">
        <v>2371.95</v>
      </c>
      <c r="D966" s="14" t="n">
        <v>2195734</v>
      </c>
      <c r="E966" s="16" t="n">
        <f aca="false">COUNTIFS($A$2:$A$1561,A966,$B$2:$B$1561,"&gt;"&amp;B966)+1</f>
        <v>76</v>
      </c>
      <c r="F966" s="16" t="n">
        <f aca="false">IF(A966=A965,C966-C965,"")</f>
        <v>9.09999999999991</v>
      </c>
      <c r="G966" s="16" t="n">
        <f aca="false">IF(A966=A965,IF(F966&gt;0,F966,0),"")</f>
        <v>9.09999999999991</v>
      </c>
      <c r="H966" s="16" t="n">
        <f aca="false">IF(A966=A965,IF(F966&lt;0,-F966,0),"")</f>
        <v>0</v>
      </c>
    </row>
    <row r="967" customFormat="false" ht="15" hidden="false" customHeight="false" outlineLevel="0" collapsed="false">
      <c r="A967" s="14" t="s">
        <v>98</v>
      </c>
      <c r="B967" s="15" t="n">
        <v>46133</v>
      </c>
      <c r="C967" s="14" t="n">
        <v>2379.8</v>
      </c>
      <c r="D967" s="14" t="n">
        <v>2216438</v>
      </c>
      <c r="E967" s="16" t="n">
        <f aca="false">COUNTIFS($A$2:$A$1561,A967,$B$2:$B$1561,"&gt;"&amp;B967)+1</f>
        <v>75</v>
      </c>
      <c r="F967" s="16" t="n">
        <f aca="false">IF(A967=A966,C967-C966,"")</f>
        <v>7.85000000000036</v>
      </c>
      <c r="G967" s="16" t="n">
        <f aca="false">IF(A967=A966,IF(F967&gt;0,F967,0),"")</f>
        <v>7.85000000000036</v>
      </c>
      <c r="H967" s="16" t="n">
        <f aca="false">IF(A967=A966,IF(F967&lt;0,-F967,0),"")</f>
        <v>0</v>
      </c>
    </row>
    <row r="968" customFormat="false" ht="15" hidden="false" customHeight="false" outlineLevel="0" collapsed="false">
      <c r="A968" s="14" t="s">
        <v>98</v>
      </c>
      <c r="B968" s="15" t="n">
        <v>46134</v>
      </c>
      <c r="C968" s="14" t="n">
        <v>2392.2</v>
      </c>
      <c r="D968" s="14" t="n">
        <v>687001</v>
      </c>
      <c r="E968" s="16" t="n">
        <f aca="false">COUNTIFS($A$2:$A$1561,A968,$B$2:$B$1561,"&gt;"&amp;B968)+1</f>
        <v>74</v>
      </c>
      <c r="F968" s="16" t="n">
        <f aca="false">IF(A968=A967,C968-C967,"")</f>
        <v>12.3999999999996</v>
      </c>
      <c r="G968" s="16" t="n">
        <f aca="false">IF(A968=A967,IF(F968&gt;0,F968,0),"")</f>
        <v>12.3999999999996</v>
      </c>
      <c r="H968" s="16" t="n">
        <f aca="false">IF(A968=A967,IF(F968&lt;0,-F968,0),"")</f>
        <v>0</v>
      </c>
    </row>
    <row r="969" customFormat="false" ht="15" hidden="false" customHeight="false" outlineLevel="0" collapsed="false">
      <c r="A969" s="14" t="s">
        <v>98</v>
      </c>
      <c r="B969" s="15" t="n">
        <v>46135</v>
      </c>
      <c r="C969" s="14" t="n">
        <v>2388.29</v>
      </c>
      <c r="D969" s="14" t="n">
        <v>1605402</v>
      </c>
      <c r="E969" s="16" t="n">
        <f aca="false">COUNTIFS($A$2:$A$1561,A969,$B$2:$B$1561,"&gt;"&amp;B969)+1</f>
        <v>73</v>
      </c>
      <c r="F969" s="16" t="n">
        <f aca="false">IF(A969=A968,C969-C968,"")</f>
        <v>-3.90999999999985</v>
      </c>
      <c r="G969" s="16" t="n">
        <f aca="false">IF(A969=A968,IF(F969&gt;0,F969,0),"")</f>
        <v>0</v>
      </c>
      <c r="H969" s="16" t="n">
        <f aca="false">IF(A969=A968,IF(F969&lt;0,-F969,0),"")</f>
        <v>3.90999999999985</v>
      </c>
    </row>
    <row r="970" customFormat="false" ht="15" hidden="false" customHeight="false" outlineLevel="0" collapsed="false">
      <c r="A970" s="14" t="s">
        <v>98</v>
      </c>
      <c r="B970" s="15" t="n">
        <v>46136</v>
      </c>
      <c r="C970" s="14" t="n">
        <v>2370.5</v>
      </c>
      <c r="D970" s="14" t="n">
        <v>518900</v>
      </c>
      <c r="E970" s="16" t="n">
        <f aca="false">COUNTIFS($A$2:$A$1561,A970,$B$2:$B$1561,"&gt;"&amp;B970)+1</f>
        <v>72</v>
      </c>
      <c r="F970" s="16" t="n">
        <f aca="false">IF(A970=A969,C970-C969,"")</f>
        <v>-17.79</v>
      </c>
      <c r="G970" s="16" t="n">
        <f aca="false">IF(A970=A969,IF(F970&gt;0,F970,0),"")</f>
        <v>0</v>
      </c>
      <c r="H970" s="16" t="n">
        <f aca="false">IF(A970=A969,IF(F970&lt;0,-F970,0),"")</f>
        <v>17.79</v>
      </c>
    </row>
    <row r="971" customFormat="false" ht="15" hidden="false" customHeight="false" outlineLevel="0" collapsed="false">
      <c r="A971" s="14" t="s">
        <v>98</v>
      </c>
      <c r="B971" s="15" t="n">
        <v>46139</v>
      </c>
      <c r="C971" s="14" t="n">
        <v>2357.76</v>
      </c>
      <c r="D971" s="14" t="n">
        <v>1499716</v>
      </c>
      <c r="E971" s="16" t="n">
        <f aca="false">COUNTIFS($A$2:$A$1561,A971,$B$2:$B$1561,"&gt;"&amp;B971)+1</f>
        <v>71</v>
      </c>
      <c r="F971" s="16" t="n">
        <f aca="false">IF(A971=A970,C971-C970,"")</f>
        <v>-12.7399999999998</v>
      </c>
      <c r="G971" s="16" t="n">
        <f aca="false">IF(A971=A970,IF(F971&gt;0,F971,0),"")</f>
        <v>0</v>
      </c>
      <c r="H971" s="16" t="n">
        <f aca="false">IF(A971=A970,IF(F971&lt;0,-F971,0),"")</f>
        <v>12.7399999999998</v>
      </c>
    </row>
    <row r="972" customFormat="false" ht="15" hidden="false" customHeight="false" outlineLevel="0" collapsed="false">
      <c r="A972" s="14" t="s">
        <v>98</v>
      </c>
      <c r="B972" s="15" t="n">
        <v>46140</v>
      </c>
      <c r="C972" s="14" t="n">
        <v>2356.23</v>
      </c>
      <c r="D972" s="14" t="n">
        <v>2068752</v>
      </c>
      <c r="E972" s="16" t="n">
        <f aca="false">COUNTIFS($A$2:$A$1561,A972,$B$2:$B$1561,"&gt;"&amp;B972)+1</f>
        <v>70</v>
      </c>
      <c r="F972" s="16" t="n">
        <f aca="false">IF(A972=A971,C972-C971,"")</f>
        <v>-1.5300000000002</v>
      </c>
      <c r="G972" s="16" t="n">
        <f aca="false">IF(A972=A971,IF(F972&gt;0,F972,0),"")</f>
        <v>0</v>
      </c>
      <c r="H972" s="16" t="n">
        <f aca="false">IF(A972=A971,IF(F972&lt;0,-F972,0),"")</f>
        <v>1.5300000000002</v>
      </c>
    </row>
    <row r="973" customFormat="false" ht="15" hidden="false" customHeight="false" outlineLevel="0" collapsed="false">
      <c r="A973" s="14" t="s">
        <v>98</v>
      </c>
      <c r="B973" s="15" t="n">
        <v>46141</v>
      </c>
      <c r="C973" s="14" t="n">
        <v>2360.29</v>
      </c>
      <c r="D973" s="14" t="n">
        <v>2215920</v>
      </c>
      <c r="E973" s="16" t="n">
        <f aca="false">COUNTIFS($A$2:$A$1561,A973,$B$2:$B$1561,"&gt;"&amp;B973)+1</f>
        <v>69</v>
      </c>
      <c r="F973" s="16" t="n">
        <f aca="false">IF(A973=A972,C973-C972,"")</f>
        <v>4.05999999999995</v>
      </c>
      <c r="G973" s="16" t="n">
        <f aca="false">IF(A973=A972,IF(F973&gt;0,F973,0),"")</f>
        <v>4.05999999999995</v>
      </c>
      <c r="H973" s="16" t="n">
        <f aca="false">IF(A973=A972,IF(F973&lt;0,-F973,0),"")</f>
        <v>0</v>
      </c>
    </row>
    <row r="974" customFormat="false" ht="15" hidden="false" customHeight="false" outlineLevel="0" collapsed="false">
      <c r="A974" s="14" t="s">
        <v>98</v>
      </c>
      <c r="B974" s="15" t="n">
        <v>46142</v>
      </c>
      <c r="C974" s="14" t="n">
        <v>2344.38</v>
      </c>
      <c r="D974" s="14" t="n">
        <v>1556318</v>
      </c>
      <c r="E974" s="16" t="n">
        <f aca="false">COUNTIFS($A$2:$A$1561,A974,$B$2:$B$1561,"&gt;"&amp;B974)+1</f>
        <v>68</v>
      </c>
      <c r="F974" s="16" t="n">
        <f aca="false">IF(A974=A973,C974-C973,"")</f>
        <v>-15.9099999999999</v>
      </c>
      <c r="G974" s="16" t="n">
        <f aca="false">IF(A974=A973,IF(F974&gt;0,F974,0),"")</f>
        <v>0</v>
      </c>
      <c r="H974" s="16" t="n">
        <f aca="false">IF(A974=A973,IF(F974&lt;0,-F974,0),"")</f>
        <v>15.9099999999999</v>
      </c>
    </row>
    <row r="975" customFormat="false" ht="15" hidden="false" customHeight="false" outlineLevel="0" collapsed="false">
      <c r="A975" s="14" t="s">
        <v>98</v>
      </c>
      <c r="B975" s="15" t="n">
        <v>46143</v>
      </c>
      <c r="C975" s="14" t="n">
        <v>2326.34</v>
      </c>
      <c r="D975" s="14" t="n">
        <v>922834</v>
      </c>
      <c r="E975" s="16" t="n">
        <f aca="false">COUNTIFS($A$2:$A$1561,A975,$B$2:$B$1561,"&gt;"&amp;B975)+1</f>
        <v>67</v>
      </c>
      <c r="F975" s="16" t="n">
        <f aca="false">IF(A975=A974,C975-C974,"")</f>
        <v>-18.04</v>
      </c>
      <c r="G975" s="16" t="n">
        <f aca="false">IF(A975=A974,IF(F975&gt;0,F975,0),"")</f>
        <v>0</v>
      </c>
      <c r="H975" s="16" t="n">
        <f aca="false">IF(A975=A974,IF(F975&lt;0,-F975,0),"")</f>
        <v>18.04</v>
      </c>
    </row>
    <row r="976" customFormat="false" ht="15" hidden="false" customHeight="false" outlineLevel="0" collapsed="false">
      <c r="A976" s="14" t="s">
        <v>98</v>
      </c>
      <c r="B976" s="15" t="n">
        <v>46146</v>
      </c>
      <c r="C976" s="14" t="n">
        <v>2343.01</v>
      </c>
      <c r="D976" s="14" t="n">
        <v>2275108</v>
      </c>
      <c r="E976" s="16" t="n">
        <f aca="false">COUNTIFS($A$2:$A$1561,A976,$B$2:$B$1561,"&gt;"&amp;B976)+1</f>
        <v>66</v>
      </c>
      <c r="F976" s="16" t="n">
        <f aca="false">IF(A976=A975,C976-C975,"")</f>
        <v>16.6700000000001</v>
      </c>
      <c r="G976" s="16" t="n">
        <f aca="false">IF(A976=A975,IF(F976&gt;0,F976,0),"")</f>
        <v>16.6700000000001</v>
      </c>
      <c r="H976" s="16" t="n">
        <f aca="false">IF(A976=A975,IF(F976&lt;0,-F976,0),"")</f>
        <v>0</v>
      </c>
    </row>
    <row r="977" customFormat="false" ht="15" hidden="false" customHeight="false" outlineLevel="0" collapsed="false">
      <c r="A977" s="14" t="s">
        <v>98</v>
      </c>
      <c r="B977" s="15" t="n">
        <v>46147</v>
      </c>
      <c r="C977" s="14" t="n">
        <v>2343.24</v>
      </c>
      <c r="D977" s="14" t="n">
        <v>593123</v>
      </c>
      <c r="E977" s="16" t="n">
        <f aca="false">COUNTIFS($A$2:$A$1561,A977,$B$2:$B$1561,"&gt;"&amp;B977)+1</f>
        <v>65</v>
      </c>
      <c r="F977" s="16" t="n">
        <f aca="false">IF(A977=A976,C977-C976,"")</f>
        <v>0.229999999999563</v>
      </c>
      <c r="G977" s="16" t="n">
        <f aca="false">IF(A977=A976,IF(F977&gt;0,F977,0),"")</f>
        <v>0.229999999999563</v>
      </c>
      <c r="H977" s="16" t="n">
        <f aca="false">IF(A977=A976,IF(F977&lt;0,-F977,0),"")</f>
        <v>0</v>
      </c>
    </row>
    <row r="978" customFormat="false" ht="15" hidden="false" customHeight="false" outlineLevel="0" collapsed="false">
      <c r="A978" s="14" t="s">
        <v>98</v>
      </c>
      <c r="B978" s="15" t="n">
        <v>46148</v>
      </c>
      <c r="C978" s="14" t="n">
        <v>2326.55</v>
      </c>
      <c r="D978" s="14" t="n">
        <v>2351169</v>
      </c>
      <c r="E978" s="16" t="n">
        <f aca="false">COUNTIFS($A$2:$A$1561,A978,$B$2:$B$1561,"&gt;"&amp;B978)+1</f>
        <v>64</v>
      </c>
      <c r="F978" s="16" t="n">
        <f aca="false">IF(A978=A977,C978-C977,"")</f>
        <v>-16.6899999999996</v>
      </c>
      <c r="G978" s="16" t="n">
        <f aca="false">IF(A978=A977,IF(F978&gt;0,F978,0),"")</f>
        <v>0</v>
      </c>
      <c r="H978" s="16" t="n">
        <f aca="false">IF(A978=A977,IF(F978&lt;0,-F978,0),"")</f>
        <v>16.6899999999996</v>
      </c>
    </row>
    <row r="979" customFormat="false" ht="15" hidden="false" customHeight="false" outlineLevel="0" collapsed="false">
      <c r="A979" s="14" t="s">
        <v>98</v>
      </c>
      <c r="B979" s="15" t="n">
        <v>46149</v>
      </c>
      <c r="C979" s="14" t="n">
        <v>2344.53</v>
      </c>
      <c r="D979" s="14" t="n">
        <v>1627019</v>
      </c>
      <c r="E979" s="16" t="n">
        <f aca="false">COUNTIFS($A$2:$A$1561,A979,$B$2:$B$1561,"&gt;"&amp;B979)+1</f>
        <v>63</v>
      </c>
      <c r="F979" s="16" t="n">
        <f aca="false">IF(A979=A978,C979-C978,"")</f>
        <v>17.98</v>
      </c>
      <c r="G979" s="16" t="n">
        <f aca="false">IF(A979=A978,IF(F979&gt;0,F979,0),"")</f>
        <v>17.98</v>
      </c>
      <c r="H979" s="16" t="n">
        <f aca="false">IF(A979=A978,IF(F979&lt;0,-F979,0),"")</f>
        <v>0</v>
      </c>
    </row>
    <row r="980" customFormat="false" ht="15" hidden="false" customHeight="false" outlineLevel="0" collapsed="false">
      <c r="A980" s="14" t="s">
        <v>98</v>
      </c>
      <c r="B980" s="15" t="n">
        <v>46150</v>
      </c>
      <c r="C980" s="14" t="n">
        <v>2326.09</v>
      </c>
      <c r="D980" s="14" t="n">
        <v>2357532</v>
      </c>
      <c r="E980" s="16" t="n">
        <f aca="false">COUNTIFS($A$2:$A$1561,A980,$B$2:$B$1561,"&gt;"&amp;B980)+1</f>
        <v>62</v>
      </c>
      <c r="F980" s="16" t="n">
        <f aca="false">IF(A980=A979,C980-C979,"")</f>
        <v>-18.4400000000001</v>
      </c>
      <c r="G980" s="16" t="n">
        <f aca="false">IF(A980=A979,IF(F980&gt;0,F980,0),"")</f>
        <v>0</v>
      </c>
      <c r="H980" s="16" t="n">
        <f aca="false">IF(A980=A979,IF(F980&lt;0,-F980,0),"")</f>
        <v>18.4400000000001</v>
      </c>
    </row>
    <row r="981" customFormat="false" ht="15" hidden="false" customHeight="false" outlineLevel="0" collapsed="false">
      <c r="A981" s="14" t="s">
        <v>98</v>
      </c>
      <c r="B981" s="15" t="n">
        <v>46153</v>
      </c>
      <c r="C981" s="14" t="n">
        <v>2319.57</v>
      </c>
      <c r="D981" s="14" t="n">
        <v>2422938</v>
      </c>
      <c r="E981" s="16" t="n">
        <f aca="false">COUNTIFS($A$2:$A$1561,A981,$B$2:$B$1561,"&gt;"&amp;B981)+1</f>
        <v>61</v>
      </c>
      <c r="F981" s="16" t="n">
        <f aca="false">IF(A981=A980,C981-C980,"")</f>
        <v>-6.51999999999998</v>
      </c>
      <c r="G981" s="16" t="n">
        <f aca="false">IF(A981=A980,IF(F981&gt;0,F981,0),"")</f>
        <v>0</v>
      </c>
      <c r="H981" s="16" t="n">
        <f aca="false">IF(A981=A980,IF(F981&lt;0,-F981,0),"")</f>
        <v>6.51999999999998</v>
      </c>
    </row>
    <row r="982" customFormat="false" ht="15" hidden="false" customHeight="false" outlineLevel="0" collapsed="false">
      <c r="A982" s="14" t="s">
        <v>98</v>
      </c>
      <c r="B982" s="15" t="n">
        <v>46154</v>
      </c>
      <c r="C982" s="14" t="n">
        <v>2324.46</v>
      </c>
      <c r="D982" s="14" t="n">
        <v>2004508</v>
      </c>
      <c r="E982" s="16" t="n">
        <f aca="false">COUNTIFS($A$2:$A$1561,A982,$B$2:$B$1561,"&gt;"&amp;B982)+1</f>
        <v>60</v>
      </c>
      <c r="F982" s="16" t="n">
        <f aca="false">IF(A982=A981,C982-C981,"")</f>
        <v>4.88999999999987</v>
      </c>
      <c r="G982" s="16" t="n">
        <f aca="false">IF(A982=A981,IF(F982&gt;0,F982,0),"")</f>
        <v>4.88999999999987</v>
      </c>
      <c r="H982" s="16" t="n">
        <f aca="false">IF(A982=A981,IF(F982&lt;0,-F982,0),"")</f>
        <v>0</v>
      </c>
    </row>
    <row r="983" customFormat="false" ht="15" hidden="false" customHeight="false" outlineLevel="0" collapsed="false">
      <c r="A983" s="14" t="s">
        <v>98</v>
      </c>
      <c r="B983" s="15" t="n">
        <v>46155</v>
      </c>
      <c r="C983" s="14" t="n">
        <v>2334.62</v>
      </c>
      <c r="D983" s="14" t="n">
        <v>1296592</v>
      </c>
      <c r="E983" s="16" t="n">
        <f aca="false">COUNTIFS($A$2:$A$1561,A983,$B$2:$B$1561,"&gt;"&amp;B983)+1</f>
        <v>59</v>
      </c>
      <c r="F983" s="16" t="n">
        <f aca="false">IF(A983=A982,C983-C982,"")</f>
        <v>10.1599999999999</v>
      </c>
      <c r="G983" s="16" t="n">
        <f aca="false">IF(A983=A982,IF(F983&gt;0,F983,0),"")</f>
        <v>10.1599999999999</v>
      </c>
      <c r="H983" s="16" t="n">
        <f aca="false">IF(A983=A982,IF(F983&lt;0,-F983,0),"")</f>
        <v>0</v>
      </c>
    </row>
    <row r="984" customFormat="false" ht="15" hidden="false" customHeight="false" outlineLevel="0" collapsed="false">
      <c r="A984" s="14" t="s">
        <v>98</v>
      </c>
      <c r="B984" s="15" t="n">
        <v>46156</v>
      </c>
      <c r="C984" s="14" t="n">
        <v>2318.1</v>
      </c>
      <c r="D984" s="14" t="n">
        <v>824900</v>
      </c>
      <c r="E984" s="16" t="n">
        <f aca="false">COUNTIFS($A$2:$A$1561,A984,$B$2:$B$1561,"&gt;"&amp;B984)+1</f>
        <v>58</v>
      </c>
      <c r="F984" s="16" t="n">
        <f aca="false">IF(A984=A983,C984-C983,"")</f>
        <v>-16.52</v>
      </c>
      <c r="G984" s="16" t="n">
        <f aca="false">IF(A984=A983,IF(F984&gt;0,F984,0),"")</f>
        <v>0</v>
      </c>
      <c r="H984" s="16" t="n">
        <f aca="false">IF(A984=A983,IF(F984&lt;0,-F984,0),"")</f>
        <v>16.52</v>
      </c>
    </row>
    <row r="985" customFormat="false" ht="15" hidden="false" customHeight="false" outlineLevel="0" collapsed="false">
      <c r="A985" s="14" t="s">
        <v>98</v>
      </c>
      <c r="B985" s="15" t="n">
        <v>46157</v>
      </c>
      <c r="C985" s="14" t="n">
        <v>2308.52</v>
      </c>
      <c r="D985" s="14" t="n">
        <v>2169301</v>
      </c>
      <c r="E985" s="16" t="n">
        <f aca="false">COUNTIFS($A$2:$A$1561,A985,$B$2:$B$1561,"&gt;"&amp;B985)+1</f>
        <v>57</v>
      </c>
      <c r="F985" s="16" t="n">
        <f aca="false">IF(A985=A984,C985-C984,"")</f>
        <v>-9.57999999999993</v>
      </c>
      <c r="G985" s="16" t="n">
        <f aca="false">IF(A985=A984,IF(F985&gt;0,F985,0),"")</f>
        <v>0</v>
      </c>
      <c r="H985" s="16" t="n">
        <f aca="false">IF(A985=A984,IF(F985&lt;0,-F985,0),"")</f>
        <v>9.57999999999993</v>
      </c>
    </row>
    <row r="986" customFormat="false" ht="15" hidden="false" customHeight="false" outlineLevel="0" collapsed="false">
      <c r="A986" s="14" t="s">
        <v>98</v>
      </c>
      <c r="B986" s="15" t="n">
        <v>46160</v>
      </c>
      <c r="C986" s="14" t="n">
        <v>2305.16</v>
      </c>
      <c r="D986" s="14" t="n">
        <v>2293051</v>
      </c>
      <c r="E986" s="16" t="n">
        <f aca="false">COUNTIFS($A$2:$A$1561,A986,$B$2:$B$1561,"&gt;"&amp;B986)+1</f>
        <v>56</v>
      </c>
      <c r="F986" s="16" t="n">
        <f aca="false">IF(A986=A985,C986-C985,"")</f>
        <v>-3.36000000000013</v>
      </c>
      <c r="G986" s="16" t="n">
        <f aca="false">IF(A986=A985,IF(F986&gt;0,F986,0),"")</f>
        <v>0</v>
      </c>
      <c r="H986" s="16" t="n">
        <f aca="false">IF(A986=A985,IF(F986&lt;0,-F986,0),"")</f>
        <v>3.36000000000013</v>
      </c>
    </row>
    <row r="987" customFormat="false" ht="15" hidden="false" customHeight="false" outlineLevel="0" collapsed="false">
      <c r="A987" s="14" t="s">
        <v>98</v>
      </c>
      <c r="B987" s="15" t="n">
        <v>46161</v>
      </c>
      <c r="C987" s="14" t="n">
        <v>2299.42</v>
      </c>
      <c r="D987" s="14" t="n">
        <v>2011218</v>
      </c>
      <c r="E987" s="16" t="n">
        <f aca="false">COUNTIFS($A$2:$A$1561,A987,$B$2:$B$1561,"&gt;"&amp;B987)+1</f>
        <v>55</v>
      </c>
      <c r="F987" s="16" t="n">
        <f aca="false">IF(A987=A986,C987-C986,"")</f>
        <v>-5.73999999999978</v>
      </c>
      <c r="G987" s="16" t="n">
        <f aca="false">IF(A987=A986,IF(F987&gt;0,F987,0),"")</f>
        <v>0</v>
      </c>
      <c r="H987" s="16" t="n">
        <f aca="false">IF(A987=A986,IF(F987&lt;0,-F987,0),"")</f>
        <v>5.73999999999978</v>
      </c>
    </row>
    <row r="988" customFormat="false" ht="15" hidden="false" customHeight="false" outlineLevel="0" collapsed="false">
      <c r="A988" s="14" t="s">
        <v>98</v>
      </c>
      <c r="B988" s="15" t="n">
        <v>46162</v>
      </c>
      <c r="C988" s="14" t="n">
        <v>2285.76</v>
      </c>
      <c r="D988" s="14" t="n">
        <v>2476955</v>
      </c>
      <c r="E988" s="16" t="n">
        <f aca="false">COUNTIFS($A$2:$A$1561,A988,$B$2:$B$1561,"&gt;"&amp;B988)+1</f>
        <v>54</v>
      </c>
      <c r="F988" s="16" t="n">
        <f aca="false">IF(A988=A987,C988-C987,"")</f>
        <v>-13.6599999999999</v>
      </c>
      <c r="G988" s="16" t="n">
        <f aca="false">IF(A988=A987,IF(F988&gt;0,F988,0),"")</f>
        <v>0</v>
      </c>
      <c r="H988" s="16" t="n">
        <f aca="false">IF(A988=A987,IF(F988&lt;0,-F988,0),"")</f>
        <v>13.6599999999999</v>
      </c>
    </row>
    <row r="989" customFormat="false" ht="15" hidden="false" customHeight="false" outlineLevel="0" collapsed="false">
      <c r="A989" s="14" t="s">
        <v>98</v>
      </c>
      <c r="B989" s="15" t="n">
        <v>46163</v>
      </c>
      <c r="C989" s="14" t="n">
        <v>2296.22</v>
      </c>
      <c r="D989" s="14" t="n">
        <v>1501585</v>
      </c>
      <c r="E989" s="16" t="n">
        <f aca="false">COUNTIFS($A$2:$A$1561,A989,$B$2:$B$1561,"&gt;"&amp;B989)+1</f>
        <v>53</v>
      </c>
      <c r="F989" s="16" t="n">
        <f aca="false">IF(A989=A988,C989-C988,"")</f>
        <v>10.4599999999996</v>
      </c>
      <c r="G989" s="16" t="n">
        <f aca="false">IF(A989=A988,IF(F989&gt;0,F989,0),"")</f>
        <v>10.4599999999996</v>
      </c>
      <c r="H989" s="16" t="n">
        <f aca="false">IF(A989=A988,IF(F989&lt;0,-F989,0),"")</f>
        <v>0</v>
      </c>
    </row>
    <row r="990" customFormat="false" ht="15" hidden="false" customHeight="false" outlineLevel="0" collapsed="false">
      <c r="A990" s="14" t="s">
        <v>98</v>
      </c>
      <c r="B990" s="15" t="n">
        <v>46164</v>
      </c>
      <c r="C990" s="14" t="n">
        <v>2317.07</v>
      </c>
      <c r="D990" s="14" t="n">
        <v>607392</v>
      </c>
      <c r="E990" s="16" t="n">
        <f aca="false">COUNTIFS($A$2:$A$1561,A990,$B$2:$B$1561,"&gt;"&amp;B990)+1</f>
        <v>52</v>
      </c>
      <c r="F990" s="16" t="n">
        <f aca="false">IF(A990=A989,C990-C989,"")</f>
        <v>20.8500000000004</v>
      </c>
      <c r="G990" s="16" t="n">
        <f aca="false">IF(A990=A989,IF(F990&gt;0,F990,0),"")</f>
        <v>20.8500000000004</v>
      </c>
      <c r="H990" s="16" t="n">
        <f aca="false">IF(A990=A989,IF(F990&lt;0,-F990,0),"")</f>
        <v>0</v>
      </c>
    </row>
    <row r="991" customFormat="false" ht="15" hidden="false" customHeight="false" outlineLevel="0" collapsed="false">
      <c r="A991" s="14" t="s">
        <v>98</v>
      </c>
      <c r="B991" s="15" t="n">
        <v>46167</v>
      </c>
      <c r="C991" s="14" t="n">
        <v>2315.69</v>
      </c>
      <c r="D991" s="14" t="n">
        <v>2177349</v>
      </c>
      <c r="E991" s="16" t="n">
        <f aca="false">COUNTIFS($A$2:$A$1561,A991,$B$2:$B$1561,"&gt;"&amp;B991)+1</f>
        <v>51</v>
      </c>
      <c r="F991" s="16" t="n">
        <f aca="false">IF(A991=A990,C991-C990,"")</f>
        <v>-1.38000000000011</v>
      </c>
      <c r="G991" s="16" t="n">
        <f aca="false">IF(A991=A990,IF(F991&gt;0,F991,0),"")</f>
        <v>0</v>
      </c>
      <c r="H991" s="16" t="n">
        <f aca="false">IF(A991=A990,IF(F991&lt;0,-F991,0),"")</f>
        <v>1.38000000000011</v>
      </c>
    </row>
    <row r="992" customFormat="false" ht="15" hidden="false" customHeight="false" outlineLevel="0" collapsed="false">
      <c r="A992" s="14" t="s">
        <v>98</v>
      </c>
      <c r="B992" s="15" t="n">
        <v>46168</v>
      </c>
      <c r="C992" s="14" t="n">
        <v>2310.3</v>
      </c>
      <c r="D992" s="14" t="n">
        <v>2038011</v>
      </c>
      <c r="E992" s="16" t="n">
        <f aca="false">COUNTIFS($A$2:$A$1561,A992,$B$2:$B$1561,"&gt;"&amp;B992)+1</f>
        <v>50</v>
      </c>
      <c r="F992" s="16" t="n">
        <f aca="false">IF(A992=A991,C992-C991,"")</f>
        <v>-5.38999999999987</v>
      </c>
      <c r="G992" s="16" t="n">
        <f aca="false">IF(A992=A991,IF(F992&gt;0,F992,0),"")</f>
        <v>0</v>
      </c>
      <c r="H992" s="16" t="n">
        <f aca="false">IF(A992=A991,IF(F992&lt;0,-F992,0),"")</f>
        <v>5.38999999999987</v>
      </c>
    </row>
    <row r="993" customFormat="false" ht="15" hidden="false" customHeight="false" outlineLevel="0" collapsed="false">
      <c r="A993" s="14" t="s">
        <v>98</v>
      </c>
      <c r="B993" s="15" t="n">
        <v>46169</v>
      </c>
      <c r="C993" s="14" t="n">
        <v>2330.46</v>
      </c>
      <c r="D993" s="14" t="n">
        <v>1293406</v>
      </c>
      <c r="E993" s="16" t="n">
        <f aca="false">COUNTIFS($A$2:$A$1561,A993,$B$2:$B$1561,"&gt;"&amp;B993)+1</f>
        <v>49</v>
      </c>
      <c r="F993" s="16" t="n">
        <f aca="false">IF(A993=A992,C993-C992,"")</f>
        <v>20.1599999999999</v>
      </c>
      <c r="G993" s="16" t="n">
        <f aca="false">IF(A993=A992,IF(F993&gt;0,F993,0),"")</f>
        <v>20.1599999999999</v>
      </c>
      <c r="H993" s="16" t="n">
        <f aca="false">IF(A993=A992,IF(F993&lt;0,-F993,0),"")</f>
        <v>0</v>
      </c>
    </row>
    <row r="994" customFormat="false" ht="15" hidden="false" customHeight="false" outlineLevel="0" collapsed="false">
      <c r="A994" s="14" t="s">
        <v>98</v>
      </c>
      <c r="B994" s="15" t="n">
        <v>46170</v>
      </c>
      <c r="C994" s="14" t="n">
        <v>2343.2</v>
      </c>
      <c r="D994" s="14" t="n">
        <v>559251</v>
      </c>
      <c r="E994" s="16" t="n">
        <f aca="false">COUNTIFS($A$2:$A$1561,A994,$B$2:$B$1561,"&gt;"&amp;B994)+1</f>
        <v>48</v>
      </c>
      <c r="F994" s="16" t="n">
        <f aca="false">IF(A994=A993,C994-C993,"")</f>
        <v>12.7399999999998</v>
      </c>
      <c r="G994" s="16" t="n">
        <f aca="false">IF(A994=A993,IF(F994&gt;0,F994,0),"")</f>
        <v>12.7399999999998</v>
      </c>
      <c r="H994" s="16" t="n">
        <f aca="false">IF(A994=A993,IF(F994&lt;0,-F994,0),"")</f>
        <v>0</v>
      </c>
    </row>
    <row r="995" customFormat="false" ht="15" hidden="false" customHeight="false" outlineLevel="0" collapsed="false">
      <c r="A995" s="14" t="s">
        <v>98</v>
      </c>
      <c r="B995" s="15" t="n">
        <v>46171</v>
      </c>
      <c r="C995" s="14" t="n">
        <v>2334.9</v>
      </c>
      <c r="D995" s="14" t="n">
        <v>2485171</v>
      </c>
      <c r="E995" s="16" t="n">
        <f aca="false">COUNTIFS($A$2:$A$1561,A995,$B$2:$B$1561,"&gt;"&amp;B995)+1</f>
        <v>47</v>
      </c>
      <c r="F995" s="16" t="n">
        <f aca="false">IF(A995=A994,C995-C994,"")</f>
        <v>-8.29999999999973</v>
      </c>
      <c r="G995" s="16" t="n">
        <f aca="false">IF(A995=A994,IF(F995&gt;0,F995,0),"")</f>
        <v>0</v>
      </c>
      <c r="H995" s="16" t="n">
        <f aca="false">IF(A995=A994,IF(F995&lt;0,-F995,0),"")</f>
        <v>8.29999999999973</v>
      </c>
    </row>
    <row r="996" customFormat="false" ht="15" hidden="false" customHeight="false" outlineLevel="0" collapsed="false">
      <c r="A996" s="14" t="s">
        <v>98</v>
      </c>
      <c r="B996" s="15" t="n">
        <v>46174</v>
      </c>
      <c r="C996" s="14" t="n">
        <v>2335.77</v>
      </c>
      <c r="D996" s="14" t="n">
        <v>1211622</v>
      </c>
      <c r="E996" s="16" t="n">
        <f aca="false">COUNTIFS($A$2:$A$1561,A996,$B$2:$B$1561,"&gt;"&amp;B996)+1</f>
        <v>46</v>
      </c>
      <c r="F996" s="16" t="n">
        <f aca="false">IF(A996=A995,C996-C995,"")</f>
        <v>0.869999999999891</v>
      </c>
      <c r="G996" s="16" t="n">
        <f aca="false">IF(A996=A995,IF(F996&gt;0,F996,0),"")</f>
        <v>0.869999999999891</v>
      </c>
      <c r="H996" s="16" t="n">
        <f aca="false">IF(A996=A995,IF(F996&lt;0,-F996,0),"")</f>
        <v>0</v>
      </c>
    </row>
    <row r="997" customFormat="false" ht="15" hidden="false" customHeight="false" outlineLevel="0" collapsed="false">
      <c r="A997" s="14" t="s">
        <v>98</v>
      </c>
      <c r="B997" s="15" t="n">
        <v>46175</v>
      </c>
      <c r="C997" s="14" t="n">
        <v>2355.57</v>
      </c>
      <c r="D997" s="14" t="n">
        <v>1363695</v>
      </c>
      <c r="E997" s="16" t="n">
        <f aca="false">COUNTIFS($A$2:$A$1561,A997,$B$2:$B$1561,"&gt;"&amp;B997)+1</f>
        <v>45</v>
      </c>
      <c r="F997" s="16" t="n">
        <f aca="false">IF(A997=A996,C997-C996,"")</f>
        <v>19.8000000000002</v>
      </c>
      <c r="G997" s="16" t="n">
        <f aca="false">IF(A997=A996,IF(F997&gt;0,F997,0),"")</f>
        <v>19.8000000000002</v>
      </c>
      <c r="H997" s="16" t="n">
        <f aca="false">IF(A997=A996,IF(F997&lt;0,-F997,0),"")</f>
        <v>0</v>
      </c>
    </row>
    <row r="998" customFormat="false" ht="15" hidden="false" customHeight="false" outlineLevel="0" collapsed="false">
      <c r="A998" s="14" t="s">
        <v>98</v>
      </c>
      <c r="B998" s="15" t="n">
        <v>46176</v>
      </c>
      <c r="C998" s="14" t="n">
        <v>2364.47</v>
      </c>
      <c r="D998" s="14" t="n">
        <v>1821343</v>
      </c>
      <c r="E998" s="16" t="n">
        <f aca="false">COUNTIFS($A$2:$A$1561,A998,$B$2:$B$1561,"&gt;"&amp;B998)+1</f>
        <v>44</v>
      </c>
      <c r="F998" s="16" t="n">
        <f aca="false">IF(A998=A997,C998-C997,"")</f>
        <v>8.89999999999964</v>
      </c>
      <c r="G998" s="16" t="n">
        <f aca="false">IF(A998=A997,IF(F998&gt;0,F998,0),"")</f>
        <v>8.89999999999964</v>
      </c>
      <c r="H998" s="16" t="n">
        <f aca="false">IF(A998=A997,IF(F998&lt;0,-F998,0),"")</f>
        <v>0</v>
      </c>
    </row>
    <row r="999" customFormat="false" ht="15" hidden="false" customHeight="false" outlineLevel="0" collapsed="false">
      <c r="A999" s="14" t="s">
        <v>98</v>
      </c>
      <c r="B999" s="15" t="n">
        <v>46177</v>
      </c>
      <c r="C999" s="14" t="n">
        <v>2348.11</v>
      </c>
      <c r="D999" s="14" t="n">
        <v>1737231</v>
      </c>
      <c r="E999" s="16" t="n">
        <f aca="false">COUNTIFS($A$2:$A$1561,A999,$B$2:$B$1561,"&gt;"&amp;B999)+1</f>
        <v>43</v>
      </c>
      <c r="F999" s="16" t="n">
        <f aca="false">IF(A999=A998,C999-C998,"")</f>
        <v>-16.3599999999997</v>
      </c>
      <c r="G999" s="16" t="n">
        <f aca="false">IF(A999=A998,IF(F999&gt;0,F999,0),"")</f>
        <v>0</v>
      </c>
      <c r="H999" s="16" t="n">
        <f aca="false">IF(A999=A998,IF(F999&lt;0,-F999,0),"")</f>
        <v>16.3599999999997</v>
      </c>
    </row>
    <row r="1000" customFormat="false" ht="15" hidden="false" customHeight="false" outlineLevel="0" collapsed="false">
      <c r="A1000" s="14" t="s">
        <v>98</v>
      </c>
      <c r="B1000" s="15" t="n">
        <v>46178</v>
      </c>
      <c r="C1000" s="14" t="n">
        <v>2361.98</v>
      </c>
      <c r="D1000" s="14" t="n">
        <v>1926217</v>
      </c>
      <c r="E1000" s="16" t="n">
        <f aca="false">COUNTIFS($A$2:$A$1561,A1000,$B$2:$B$1561,"&gt;"&amp;B1000)+1</f>
        <v>42</v>
      </c>
      <c r="F1000" s="16" t="n">
        <f aca="false">IF(A1000=A999,C1000-C999,"")</f>
        <v>13.8699999999999</v>
      </c>
      <c r="G1000" s="16" t="n">
        <f aca="false">IF(A1000=A999,IF(F1000&gt;0,F1000,0),"")</f>
        <v>13.8699999999999</v>
      </c>
      <c r="H1000" s="16" t="n">
        <f aca="false">IF(A1000=A999,IF(F1000&lt;0,-F1000,0),"")</f>
        <v>0</v>
      </c>
    </row>
    <row r="1001" customFormat="false" ht="15" hidden="false" customHeight="false" outlineLevel="0" collapsed="false">
      <c r="A1001" s="14" t="s">
        <v>98</v>
      </c>
      <c r="B1001" s="15" t="n">
        <v>46181</v>
      </c>
      <c r="C1001" s="14" t="n">
        <v>2345.48</v>
      </c>
      <c r="D1001" s="14" t="n">
        <v>808441</v>
      </c>
      <c r="E1001" s="16" t="n">
        <f aca="false">COUNTIFS($A$2:$A$1561,A1001,$B$2:$B$1561,"&gt;"&amp;B1001)+1</f>
        <v>41</v>
      </c>
      <c r="F1001" s="16" t="n">
        <f aca="false">IF(A1001=A1000,C1001-C1000,"")</f>
        <v>-16.5</v>
      </c>
      <c r="G1001" s="16" t="n">
        <f aca="false">IF(A1001=A1000,IF(F1001&gt;0,F1001,0),"")</f>
        <v>0</v>
      </c>
      <c r="H1001" s="16" t="n">
        <f aca="false">IF(A1001=A1000,IF(F1001&lt;0,-F1001,0),"")</f>
        <v>16.5</v>
      </c>
    </row>
    <row r="1002" customFormat="false" ht="15" hidden="false" customHeight="false" outlineLevel="0" collapsed="false">
      <c r="A1002" s="14" t="s">
        <v>98</v>
      </c>
      <c r="B1002" s="15" t="n">
        <v>46182</v>
      </c>
      <c r="C1002" s="14" t="n">
        <v>2355.68</v>
      </c>
      <c r="D1002" s="14" t="n">
        <v>1767801</v>
      </c>
      <c r="E1002" s="16" t="n">
        <f aca="false">COUNTIFS($A$2:$A$1561,A1002,$B$2:$B$1561,"&gt;"&amp;B1002)+1</f>
        <v>40</v>
      </c>
      <c r="F1002" s="16" t="n">
        <f aca="false">IF(A1002=A1001,C1002-C1001,"")</f>
        <v>10.1999999999998</v>
      </c>
      <c r="G1002" s="16" t="n">
        <f aca="false">IF(A1002=A1001,IF(F1002&gt;0,F1002,0),"")</f>
        <v>10.1999999999998</v>
      </c>
      <c r="H1002" s="16" t="n">
        <f aca="false">IF(A1002=A1001,IF(F1002&lt;0,-F1002,0),"")</f>
        <v>0</v>
      </c>
    </row>
    <row r="1003" customFormat="false" ht="15" hidden="false" customHeight="false" outlineLevel="0" collapsed="false">
      <c r="A1003" s="14" t="s">
        <v>98</v>
      </c>
      <c r="B1003" s="15" t="n">
        <v>46183</v>
      </c>
      <c r="C1003" s="14" t="n">
        <v>2367.12</v>
      </c>
      <c r="D1003" s="14" t="n">
        <v>1133356</v>
      </c>
      <c r="E1003" s="16" t="n">
        <f aca="false">COUNTIFS($A$2:$A$1561,A1003,$B$2:$B$1561,"&gt;"&amp;B1003)+1</f>
        <v>39</v>
      </c>
      <c r="F1003" s="16" t="n">
        <f aca="false">IF(A1003=A1002,C1003-C1002,"")</f>
        <v>11.4400000000001</v>
      </c>
      <c r="G1003" s="16" t="n">
        <f aca="false">IF(A1003=A1002,IF(F1003&gt;0,F1003,0),"")</f>
        <v>11.4400000000001</v>
      </c>
      <c r="H1003" s="16" t="n">
        <f aca="false">IF(A1003=A1002,IF(F1003&lt;0,-F1003,0),"")</f>
        <v>0</v>
      </c>
    </row>
    <row r="1004" customFormat="false" ht="15" hidden="false" customHeight="false" outlineLevel="0" collapsed="false">
      <c r="A1004" s="14" t="s">
        <v>98</v>
      </c>
      <c r="B1004" s="15" t="n">
        <v>46184</v>
      </c>
      <c r="C1004" s="14" t="n">
        <v>2351.63</v>
      </c>
      <c r="D1004" s="14" t="n">
        <v>510390</v>
      </c>
      <c r="E1004" s="16" t="n">
        <f aca="false">COUNTIFS($A$2:$A$1561,A1004,$B$2:$B$1561,"&gt;"&amp;B1004)+1</f>
        <v>38</v>
      </c>
      <c r="F1004" s="16" t="n">
        <f aca="false">IF(A1004=A1003,C1004-C1003,"")</f>
        <v>-15.4899999999998</v>
      </c>
      <c r="G1004" s="16" t="n">
        <f aca="false">IF(A1004=A1003,IF(F1004&gt;0,F1004,0),"")</f>
        <v>0</v>
      </c>
      <c r="H1004" s="16" t="n">
        <f aca="false">IF(A1004=A1003,IF(F1004&lt;0,-F1004,0),"")</f>
        <v>15.4899999999998</v>
      </c>
    </row>
    <row r="1005" customFormat="false" ht="15" hidden="false" customHeight="false" outlineLevel="0" collapsed="false">
      <c r="A1005" s="14" t="s">
        <v>98</v>
      </c>
      <c r="B1005" s="15" t="n">
        <v>46185</v>
      </c>
      <c r="C1005" s="14" t="n">
        <v>2344.79</v>
      </c>
      <c r="D1005" s="14" t="n">
        <v>1219834</v>
      </c>
      <c r="E1005" s="16" t="n">
        <f aca="false">COUNTIFS($A$2:$A$1561,A1005,$B$2:$B$1561,"&gt;"&amp;B1005)+1</f>
        <v>37</v>
      </c>
      <c r="F1005" s="16" t="n">
        <f aca="false">IF(A1005=A1004,C1005-C1004,"")</f>
        <v>-6.84000000000015</v>
      </c>
      <c r="G1005" s="16" t="n">
        <f aca="false">IF(A1005=A1004,IF(F1005&gt;0,F1005,0),"")</f>
        <v>0</v>
      </c>
      <c r="H1005" s="16" t="n">
        <f aca="false">IF(A1005=A1004,IF(F1005&lt;0,-F1005,0),"")</f>
        <v>6.84000000000015</v>
      </c>
    </row>
    <row r="1006" customFormat="false" ht="15" hidden="false" customHeight="false" outlineLevel="0" collapsed="false">
      <c r="A1006" s="14" t="s">
        <v>98</v>
      </c>
      <c r="B1006" s="15" t="n">
        <v>46188</v>
      </c>
      <c r="C1006" s="14" t="n">
        <v>2336.34</v>
      </c>
      <c r="D1006" s="14" t="n">
        <v>765014</v>
      </c>
      <c r="E1006" s="16" t="n">
        <f aca="false">COUNTIFS($A$2:$A$1561,A1006,$B$2:$B$1561,"&gt;"&amp;B1006)+1</f>
        <v>36</v>
      </c>
      <c r="F1006" s="16" t="n">
        <f aca="false">IF(A1006=A1005,C1006-C1005,"")</f>
        <v>-8.44999999999982</v>
      </c>
      <c r="G1006" s="16" t="n">
        <f aca="false">IF(A1006=A1005,IF(F1006&gt;0,F1006,0),"")</f>
        <v>0</v>
      </c>
      <c r="H1006" s="16" t="n">
        <f aca="false">IF(A1006=A1005,IF(F1006&lt;0,-F1006,0),"")</f>
        <v>8.44999999999982</v>
      </c>
    </row>
    <row r="1007" customFormat="false" ht="15" hidden="false" customHeight="false" outlineLevel="0" collapsed="false">
      <c r="A1007" s="14" t="s">
        <v>98</v>
      </c>
      <c r="B1007" s="15" t="n">
        <v>46189</v>
      </c>
      <c r="C1007" s="14" t="n">
        <v>2324.45</v>
      </c>
      <c r="D1007" s="14" t="n">
        <v>1397687</v>
      </c>
      <c r="E1007" s="16" t="n">
        <f aca="false">COUNTIFS($A$2:$A$1561,A1007,$B$2:$B$1561,"&gt;"&amp;B1007)+1</f>
        <v>35</v>
      </c>
      <c r="F1007" s="16" t="n">
        <f aca="false">IF(A1007=A1006,C1007-C1006,"")</f>
        <v>-11.8900000000003</v>
      </c>
      <c r="G1007" s="16" t="n">
        <f aca="false">IF(A1007=A1006,IF(F1007&gt;0,F1007,0),"")</f>
        <v>0</v>
      </c>
      <c r="H1007" s="16" t="n">
        <f aca="false">IF(A1007=A1006,IF(F1007&lt;0,-F1007,0),"")</f>
        <v>11.8900000000003</v>
      </c>
    </row>
    <row r="1008" customFormat="false" ht="15" hidden="false" customHeight="false" outlineLevel="0" collapsed="false">
      <c r="A1008" s="14" t="s">
        <v>98</v>
      </c>
      <c r="B1008" s="15" t="n">
        <v>46190</v>
      </c>
      <c r="C1008" s="14" t="n">
        <v>2328</v>
      </c>
      <c r="D1008" s="14" t="n">
        <v>1316088</v>
      </c>
      <c r="E1008" s="16" t="n">
        <f aca="false">COUNTIFS($A$2:$A$1561,A1008,$B$2:$B$1561,"&gt;"&amp;B1008)+1</f>
        <v>34</v>
      </c>
      <c r="F1008" s="16" t="n">
        <f aca="false">IF(A1008=A1007,C1008-C1007,"")</f>
        <v>3.55000000000018</v>
      </c>
      <c r="G1008" s="16" t="n">
        <f aca="false">IF(A1008=A1007,IF(F1008&gt;0,F1008,0),"")</f>
        <v>3.55000000000018</v>
      </c>
      <c r="H1008" s="16" t="n">
        <f aca="false">IF(A1008=A1007,IF(F1008&lt;0,-F1008,0),"")</f>
        <v>0</v>
      </c>
    </row>
    <row r="1009" customFormat="false" ht="15" hidden="false" customHeight="false" outlineLevel="0" collapsed="false">
      <c r="A1009" s="14" t="s">
        <v>98</v>
      </c>
      <c r="B1009" s="15" t="n">
        <v>46191</v>
      </c>
      <c r="C1009" s="14" t="n">
        <v>2309.4</v>
      </c>
      <c r="D1009" s="14" t="n">
        <v>1207828</v>
      </c>
      <c r="E1009" s="16" t="n">
        <f aca="false">COUNTIFS($A$2:$A$1561,A1009,$B$2:$B$1561,"&gt;"&amp;B1009)+1</f>
        <v>33</v>
      </c>
      <c r="F1009" s="16" t="n">
        <f aca="false">IF(A1009=A1008,C1009-C1008,"")</f>
        <v>-18.5999999999999</v>
      </c>
      <c r="G1009" s="16" t="n">
        <f aca="false">IF(A1009=A1008,IF(F1009&gt;0,F1009,0),"")</f>
        <v>0</v>
      </c>
      <c r="H1009" s="16" t="n">
        <f aca="false">IF(A1009=A1008,IF(F1009&lt;0,-F1009,0),"")</f>
        <v>18.5999999999999</v>
      </c>
    </row>
    <row r="1010" customFormat="false" ht="15" hidden="false" customHeight="false" outlineLevel="0" collapsed="false">
      <c r="A1010" s="14" t="s">
        <v>98</v>
      </c>
      <c r="B1010" s="15" t="n">
        <v>46192</v>
      </c>
      <c r="C1010" s="14" t="n">
        <v>2293.73</v>
      </c>
      <c r="D1010" s="14" t="n">
        <v>1696087</v>
      </c>
      <c r="E1010" s="16" t="n">
        <f aca="false">COUNTIFS($A$2:$A$1561,A1010,$B$2:$B$1561,"&gt;"&amp;B1010)+1</f>
        <v>32</v>
      </c>
      <c r="F1010" s="16" t="n">
        <f aca="false">IF(A1010=A1009,C1010-C1009,"")</f>
        <v>-15.6700000000001</v>
      </c>
      <c r="G1010" s="16" t="n">
        <f aca="false">IF(A1010=A1009,IF(F1010&gt;0,F1010,0),"")</f>
        <v>0</v>
      </c>
      <c r="H1010" s="16" t="n">
        <f aca="false">IF(A1010=A1009,IF(F1010&lt;0,-F1010,0),"")</f>
        <v>15.6700000000001</v>
      </c>
    </row>
    <row r="1011" customFormat="false" ht="15" hidden="false" customHeight="false" outlineLevel="0" collapsed="false">
      <c r="A1011" s="14" t="s">
        <v>98</v>
      </c>
      <c r="B1011" s="15" t="n">
        <v>46195</v>
      </c>
      <c r="C1011" s="14" t="n">
        <v>2287.72</v>
      </c>
      <c r="D1011" s="14" t="n">
        <v>1270475</v>
      </c>
      <c r="E1011" s="16" t="n">
        <f aca="false">COUNTIFS($A$2:$A$1561,A1011,$B$2:$B$1561,"&gt;"&amp;B1011)+1</f>
        <v>31</v>
      </c>
      <c r="F1011" s="16" t="n">
        <f aca="false">IF(A1011=A1010,C1011-C1010,"")</f>
        <v>-6.01000000000022</v>
      </c>
      <c r="G1011" s="16" t="n">
        <f aca="false">IF(A1011=A1010,IF(F1011&gt;0,F1011,0),"")</f>
        <v>0</v>
      </c>
      <c r="H1011" s="16" t="n">
        <f aca="false">IF(A1011=A1010,IF(F1011&lt;0,-F1011,0),"")</f>
        <v>6.01000000000022</v>
      </c>
    </row>
    <row r="1012" customFormat="false" ht="15" hidden="false" customHeight="false" outlineLevel="0" collapsed="false">
      <c r="A1012" s="14" t="s">
        <v>98</v>
      </c>
      <c r="B1012" s="15" t="n">
        <v>46196</v>
      </c>
      <c r="C1012" s="14" t="n">
        <v>2280.39</v>
      </c>
      <c r="D1012" s="14" t="n">
        <v>1275599</v>
      </c>
      <c r="E1012" s="16" t="n">
        <f aca="false">COUNTIFS($A$2:$A$1561,A1012,$B$2:$B$1561,"&gt;"&amp;B1012)+1</f>
        <v>30</v>
      </c>
      <c r="F1012" s="16" t="n">
        <f aca="false">IF(A1012=A1011,C1012-C1011,"")</f>
        <v>-7.32999999999993</v>
      </c>
      <c r="G1012" s="16" t="n">
        <f aca="false">IF(A1012=A1011,IF(F1012&gt;0,F1012,0),"")</f>
        <v>0</v>
      </c>
      <c r="H1012" s="16" t="n">
        <f aca="false">IF(A1012=A1011,IF(F1012&lt;0,-F1012,0),"")</f>
        <v>7.32999999999993</v>
      </c>
    </row>
    <row r="1013" customFormat="false" ht="15" hidden="false" customHeight="false" outlineLevel="0" collapsed="false">
      <c r="A1013" s="14" t="s">
        <v>98</v>
      </c>
      <c r="B1013" s="15" t="n">
        <v>46197</v>
      </c>
      <c r="C1013" s="14" t="n">
        <v>2264.57</v>
      </c>
      <c r="D1013" s="14" t="n">
        <v>2302272</v>
      </c>
      <c r="E1013" s="16" t="n">
        <f aca="false">COUNTIFS($A$2:$A$1561,A1013,$B$2:$B$1561,"&gt;"&amp;B1013)+1</f>
        <v>29</v>
      </c>
      <c r="F1013" s="16" t="n">
        <f aca="false">IF(A1013=A1012,C1013-C1012,"")</f>
        <v>-15.8199999999997</v>
      </c>
      <c r="G1013" s="16" t="n">
        <f aca="false">IF(A1013=A1012,IF(F1013&gt;0,F1013,0),"")</f>
        <v>0</v>
      </c>
      <c r="H1013" s="16" t="n">
        <f aca="false">IF(A1013=A1012,IF(F1013&lt;0,-F1013,0),"")</f>
        <v>15.8199999999997</v>
      </c>
    </row>
    <row r="1014" customFormat="false" ht="15" hidden="false" customHeight="false" outlineLevel="0" collapsed="false">
      <c r="A1014" s="14" t="s">
        <v>98</v>
      </c>
      <c r="B1014" s="15" t="n">
        <v>46198</v>
      </c>
      <c r="C1014" s="14" t="n">
        <v>2282.31</v>
      </c>
      <c r="D1014" s="14" t="n">
        <v>2456346</v>
      </c>
      <c r="E1014" s="16" t="n">
        <f aca="false">COUNTIFS($A$2:$A$1561,A1014,$B$2:$B$1561,"&gt;"&amp;B1014)+1</f>
        <v>28</v>
      </c>
      <c r="F1014" s="16" t="n">
        <f aca="false">IF(A1014=A1013,C1014-C1013,"")</f>
        <v>17.7399999999998</v>
      </c>
      <c r="G1014" s="16" t="n">
        <f aca="false">IF(A1014=A1013,IF(F1014&gt;0,F1014,0),"")</f>
        <v>17.7399999999998</v>
      </c>
      <c r="H1014" s="16" t="n">
        <f aca="false">IF(A1014=A1013,IF(F1014&lt;0,-F1014,0),"")</f>
        <v>0</v>
      </c>
    </row>
    <row r="1015" customFormat="false" ht="15" hidden="false" customHeight="false" outlineLevel="0" collapsed="false">
      <c r="A1015" s="14" t="s">
        <v>98</v>
      </c>
      <c r="B1015" s="15" t="n">
        <v>46199</v>
      </c>
      <c r="C1015" s="14" t="n">
        <v>2286.5</v>
      </c>
      <c r="D1015" s="14" t="n">
        <v>839165</v>
      </c>
      <c r="E1015" s="16" t="n">
        <f aca="false">COUNTIFS($A$2:$A$1561,A1015,$B$2:$B$1561,"&gt;"&amp;B1015)+1</f>
        <v>27</v>
      </c>
      <c r="F1015" s="16" t="n">
        <f aca="false">IF(A1015=A1014,C1015-C1014,"")</f>
        <v>4.19000000000006</v>
      </c>
      <c r="G1015" s="16" t="n">
        <f aca="false">IF(A1015=A1014,IF(F1015&gt;0,F1015,0),"")</f>
        <v>4.19000000000006</v>
      </c>
      <c r="H1015" s="16" t="n">
        <f aca="false">IF(A1015=A1014,IF(F1015&lt;0,-F1015,0),"")</f>
        <v>0</v>
      </c>
    </row>
    <row r="1016" customFormat="false" ht="15" hidden="false" customHeight="false" outlineLevel="0" collapsed="false">
      <c r="A1016" s="14" t="s">
        <v>98</v>
      </c>
      <c r="B1016" s="15" t="n">
        <v>46202</v>
      </c>
      <c r="C1016" s="14" t="n">
        <v>2282.83</v>
      </c>
      <c r="D1016" s="14" t="n">
        <v>777680</v>
      </c>
      <c r="E1016" s="16" t="n">
        <f aca="false">COUNTIFS($A$2:$A$1561,A1016,$B$2:$B$1561,"&gt;"&amp;B1016)+1</f>
        <v>26</v>
      </c>
      <c r="F1016" s="16" t="n">
        <f aca="false">IF(A1016=A1015,C1016-C1015,"")</f>
        <v>-3.67000000000007</v>
      </c>
      <c r="G1016" s="16" t="n">
        <f aca="false">IF(A1016=A1015,IF(F1016&gt;0,F1016,0),"")</f>
        <v>0</v>
      </c>
      <c r="H1016" s="16" t="n">
        <f aca="false">IF(A1016=A1015,IF(F1016&lt;0,-F1016,0),"")</f>
        <v>3.67000000000007</v>
      </c>
    </row>
    <row r="1017" customFormat="false" ht="15" hidden="false" customHeight="false" outlineLevel="0" collapsed="false">
      <c r="A1017" s="14" t="s">
        <v>98</v>
      </c>
      <c r="B1017" s="15" t="n">
        <v>46203</v>
      </c>
      <c r="C1017" s="14" t="n">
        <v>2275.89</v>
      </c>
      <c r="D1017" s="14" t="n">
        <v>1486247</v>
      </c>
      <c r="E1017" s="16" t="n">
        <f aca="false">COUNTIFS($A$2:$A$1561,A1017,$B$2:$B$1561,"&gt;"&amp;B1017)+1</f>
        <v>25</v>
      </c>
      <c r="F1017" s="16" t="n">
        <f aca="false">IF(A1017=A1016,C1017-C1016,"")</f>
        <v>-6.94000000000006</v>
      </c>
      <c r="G1017" s="16" t="n">
        <f aca="false">IF(A1017=A1016,IF(F1017&gt;0,F1017,0),"")</f>
        <v>0</v>
      </c>
      <c r="H1017" s="16" t="n">
        <f aca="false">IF(A1017=A1016,IF(F1017&lt;0,-F1017,0),"")</f>
        <v>6.94000000000006</v>
      </c>
    </row>
    <row r="1018" customFormat="false" ht="15" hidden="false" customHeight="false" outlineLevel="0" collapsed="false">
      <c r="A1018" s="14" t="s">
        <v>98</v>
      </c>
      <c r="B1018" s="15" t="n">
        <v>46204</v>
      </c>
      <c r="C1018" s="14" t="n">
        <v>2259.22</v>
      </c>
      <c r="D1018" s="14" t="n">
        <v>1369352</v>
      </c>
      <c r="E1018" s="16" t="n">
        <f aca="false">COUNTIFS($A$2:$A$1561,A1018,$B$2:$B$1561,"&gt;"&amp;B1018)+1</f>
        <v>24</v>
      </c>
      <c r="F1018" s="16" t="n">
        <f aca="false">IF(A1018=A1017,C1018-C1017,"")</f>
        <v>-16.6700000000001</v>
      </c>
      <c r="G1018" s="16" t="n">
        <f aca="false">IF(A1018=A1017,IF(F1018&gt;0,F1018,0),"")</f>
        <v>0</v>
      </c>
      <c r="H1018" s="16" t="n">
        <f aca="false">IF(A1018=A1017,IF(F1018&lt;0,-F1018,0),"")</f>
        <v>16.6700000000001</v>
      </c>
    </row>
    <row r="1019" customFormat="false" ht="15" hidden="false" customHeight="false" outlineLevel="0" collapsed="false">
      <c r="A1019" s="14" t="s">
        <v>98</v>
      </c>
      <c r="B1019" s="15" t="n">
        <v>46205</v>
      </c>
      <c r="C1019" s="14" t="n">
        <v>2257.24</v>
      </c>
      <c r="D1019" s="14" t="n">
        <v>1468462</v>
      </c>
      <c r="E1019" s="16" t="n">
        <f aca="false">COUNTIFS($A$2:$A$1561,A1019,$B$2:$B$1561,"&gt;"&amp;B1019)+1</f>
        <v>23</v>
      </c>
      <c r="F1019" s="16" t="n">
        <f aca="false">IF(A1019=A1018,C1019-C1018,"")</f>
        <v>-1.98000000000002</v>
      </c>
      <c r="G1019" s="16" t="n">
        <f aca="false">IF(A1019=A1018,IF(F1019&gt;0,F1019,0),"")</f>
        <v>0</v>
      </c>
      <c r="H1019" s="16" t="n">
        <f aca="false">IF(A1019=A1018,IF(F1019&lt;0,-F1019,0),"")</f>
        <v>1.98000000000002</v>
      </c>
    </row>
    <row r="1020" customFormat="false" ht="15" hidden="false" customHeight="false" outlineLevel="0" collapsed="false">
      <c r="A1020" s="14" t="s">
        <v>98</v>
      </c>
      <c r="B1020" s="15" t="n">
        <v>46206</v>
      </c>
      <c r="C1020" s="14" t="n">
        <v>2241.27</v>
      </c>
      <c r="D1020" s="14" t="n">
        <v>1003399</v>
      </c>
      <c r="E1020" s="16" t="n">
        <f aca="false">COUNTIFS($A$2:$A$1561,A1020,$B$2:$B$1561,"&gt;"&amp;B1020)+1</f>
        <v>22</v>
      </c>
      <c r="F1020" s="16" t="n">
        <f aca="false">IF(A1020=A1019,C1020-C1019,"")</f>
        <v>-15.9699999999998</v>
      </c>
      <c r="G1020" s="16" t="n">
        <f aca="false">IF(A1020=A1019,IF(F1020&gt;0,F1020,0),"")</f>
        <v>0</v>
      </c>
      <c r="H1020" s="16" t="n">
        <f aca="false">IF(A1020=A1019,IF(F1020&lt;0,-F1020,0),"")</f>
        <v>15.9699999999998</v>
      </c>
    </row>
    <row r="1021" customFormat="false" ht="15" hidden="false" customHeight="false" outlineLevel="0" collapsed="false">
      <c r="A1021" s="14" t="s">
        <v>98</v>
      </c>
      <c r="B1021" s="15" t="n">
        <v>46209</v>
      </c>
      <c r="C1021" s="14" t="n">
        <v>2232.25</v>
      </c>
      <c r="D1021" s="14" t="n">
        <v>1750067</v>
      </c>
      <c r="E1021" s="16" t="n">
        <f aca="false">COUNTIFS($A$2:$A$1561,A1021,$B$2:$B$1561,"&gt;"&amp;B1021)+1</f>
        <v>21</v>
      </c>
      <c r="F1021" s="16" t="n">
        <f aca="false">IF(A1021=A1020,C1021-C1020,"")</f>
        <v>-9.01999999999998</v>
      </c>
      <c r="G1021" s="16" t="n">
        <f aca="false">IF(A1021=A1020,IF(F1021&gt;0,F1021,0),"")</f>
        <v>0</v>
      </c>
      <c r="H1021" s="16" t="n">
        <f aca="false">IF(A1021=A1020,IF(F1021&lt;0,-F1021,0),"")</f>
        <v>9.01999999999998</v>
      </c>
    </row>
    <row r="1022" customFormat="false" ht="15" hidden="false" customHeight="false" outlineLevel="0" collapsed="false">
      <c r="A1022" s="14" t="s">
        <v>98</v>
      </c>
      <c r="B1022" s="15" t="n">
        <v>46210</v>
      </c>
      <c r="C1022" s="14" t="n">
        <v>2237.23</v>
      </c>
      <c r="D1022" s="14" t="n">
        <v>891096</v>
      </c>
      <c r="E1022" s="16" t="n">
        <f aca="false">COUNTIFS($A$2:$A$1561,A1022,$B$2:$B$1561,"&gt;"&amp;B1022)+1</f>
        <v>20</v>
      </c>
      <c r="F1022" s="16" t="n">
        <f aca="false">IF(A1022=A1021,C1022-C1021,"")</f>
        <v>4.98000000000002</v>
      </c>
      <c r="G1022" s="16" t="n">
        <f aca="false">IF(A1022=A1021,IF(F1022&gt;0,F1022,0),"")</f>
        <v>4.98000000000002</v>
      </c>
      <c r="H1022" s="16" t="n">
        <f aca="false">IF(A1022=A1021,IF(F1022&lt;0,-F1022,0),"")</f>
        <v>0</v>
      </c>
    </row>
    <row r="1023" customFormat="false" ht="15" hidden="false" customHeight="false" outlineLevel="0" collapsed="false">
      <c r="A1023" s="14" t="s">
        <v>98</v>
      </c>
      <c r="B1023" s="15" t="n">
        <v>46211</v>
      </c>
      <c r="C1023" s="14" t="n">
        <v>2222.61</v>
      </c>
      <c r="D1023" s="14" t="n">
        <v>1109315</v>
      </c>
      <c r="E1023" s="16" t="n">
        <f aca="false">COUNTIFS($A$2:$A$1561,A1023,$B$2:$B$1561,"&gt;"&amp;B1023)+1</f>
        <v>19</v>
      </c>
      <c r="F1023" s="16" t="n">
        <f aca="false">IF(A1023=A1022,C1023-C1022,"")</f>
        <v>-14.6199999999999</v>
      </c>
      <c r="G1023" s="16" t="n">
        <f aca="false">IF(A1023=A1022,IF(F1023&gt;0,F1023,0),"")</f>
        <v>0</v>
      </c>
      <c r="H1023" s="16" t="n">
        <f aca="false">IF(A1023=A1022,IF(F1023&lt;0,-F1023,0),"")</f>
        <v>14.6199999999999</v>
      </c>
    </row>
    <row r="1024" customFormat="false" ht="15" hidden="false" customHeight="false" outlineLevel="0" collapsed="false">
      <c r="A1024" s="14" t="s">
        <v>98</v>
      </c>
      <c r="B1024" s="15" t="n">
        <v>46212</v>
      </c>
      <c r="C1024" s="14" t="n">
        <v>2241.76</v>
      </c>
      <c r="D1024" s="14" t="n">
        <v>1164434</v>
      </c>
      <c r="E1024" s="16" t="n">
        <f aca="false">COUNTIFS($A$2:$A$1561,A1024,$B$2:$B$1561,"&gt;"&amp;B1024)+1</f>
        <v>18</v>
      </c>
      <c r="F1024" s="16" t="n">
        <f aca="false">IF(A1024=A1023,C1024-C1023,"")</f>
        <v>19.1500000000001</v>
      </c>
      <c r="G1024" s="16" t="n">
        <f aca="false">IF(A1024=A1023,IF(F1024&gt;0,F1024,0),"")</f>
        <v>19.1500000000001</v>
      </c>
      <c r="H1024" s="16" t="n">
        <f aca="false">IF(A1024=A1023,IF(F1024&lt;0,-F1024,0),"")</f>
        <v>0</v>
      </c>
    </row>
    <row r="1025" customFormat="false" ht="15" hidden="false" customHeight="false" outlineLevel="0" collapsed="false">
      <c r="A1025" s="14" t="s">
        <v>98</v>
      </c>
      <c r="B1025" s="15" t="n">
        <v>46213</v>
      </c>
      <c r="C1025" s="14" t="n">
        <v>2247.82</v>
      </c>
      <c r="D1025" s="14" t="n">
        <v>2108152</v>
      </c>
      <c r="E1025" s="16" t="n">
        <f aca="false">COUNTIFS($A$2:$A$1561,A1025,$B$2:$B$1561,"&gt;"&amp;B1025)+1</f>
        <v>17</v>
      </c>
      <c r="F1025" s="16" t="n">
        <f aca="false">IF(A1025=A1024,C1025-C1024,"")</f>
        <v>6.05999999999995</v>
      </c>
      <c r="G1025" s="16" t="n">
        <f aca="false">IF(A1025=A1024,IF(F1025&gt;0,F1025,0),"")</f>
        <v>6.05999999999995</v>
      </c>
      <c r="H1025" s="16" t="n">
        <f aca="false">IF(A1025=A1024,IF(F1025&lt;0,-F1025,0),"")</f>
        <v>0</v>
      </c>
    </row>
    <row r="1026" customFormat="false" ht="15" hidden="false" customHeight="false" outlineLevel="0" collapsed="false">
      <c r="A1026" s="14" t="s">
        <v>98</v>
      </c>
      <c r="B1026" s="15" t="n">
        <v>46216</v>
      </c>
      <c r="C1026" s="14" t="n">
        <v>2242.14</v>
      </c>
      <c r="D1026" s="14" t="n">
        <v>1169472</v>
      </c>
      <c r="E1026" s="16" t="n">
        <f aca="false">COUNTIFS($A$2:$A$1561,A1026,$B$2:$B$1561,"&gt;"&amp;B1026)+1</f>
        <v>16</v>
      </c>
      <c r="F1026" s="16" t="n">
        <f aca="false">IF(A1026=A1025,C1026-C1025,"")</f>
        <v>-5.68000000000029</v>
      </c>
      <c r="G1026" s="16" t="n">
        <f aca="false">IF(A1026=A1025,IF(F1026&gt;0,F1026,0),"")</f>
        <v>0</v>
      </c>
      <c r="H1026" s="16" t="n">
        <f aca="false">IF(A1026=A1025,IF(F1026&lt;0,-F1026,0),"")</f>
        <v>5.68000000000029</v>
      </c>
    </row>
    <row r="1027" customFormat="false" ht="15" hidden="false" customHeight="false" outlineLevel="0" collapsed="false">
      <c r="A1027" s="14" t="s">
        <v>98</v>
      </c>
      <c r="B1027" s="15" t="n">
        <v>46217</v>
      </c>
      <c r="C1027" s="14" t="n">
        <v>2256.08</v>
      </c>
      <c r="D1027" s="14" t="n">
        <v>2219016</v>
      </c>
      <c r="E1027" s="16" t="n">
        <f aca="false">COUNTIFS($A$2:$A$1561,A1027,$B$2:$B$1561,"&gt;"&amp;B1027)+1</f>
        <v>15</v>
      </c>
      <c r="F1027" s="16" t="n">
        <f aca="false">IF(A1027=A1026,C1027-C1026,"")</f>
        <v>13.9400000000001</v>
      </c>
      <c r="G1027" s="16" t="n">
        <f aca="false">IF(A1027=A1026,IF(F1027&gt;0,F1027,0),"")</f>
        <v>13.9400000000001</v>
      </c>
      <c r="H1027" s="16" t="n">
        <f aca="false">IF(A1027=A1026,IF(F1027&lt;0,-F1027,0),"")</f>
        <v>0</v>
      </c>
    </row>
    <row r="1028" customFormat="false" ht="15" hidden="false" customHeight="false" outlineLevel="0" collapsed="false">
      <c r="A1028" s="14" t="s">
        <v>98</v>
      </c>
      <c r="B1028" s="15" t="n">
        <v>46218</v>
      </c>
      <c r="C1028" s="14" t="n">
        <v>2276.56</v>
      </c>
      <c r="D1028" s="14" t="n">
        <v>772248</v>
      </c>
      <c r="E1028" s="16" t="n">
        <f aca="false">COUNTIFS($A$2:$A$1561,A1028,$B$2:$B$1561,"&gt;"&amp;B1028)+1</f>
        <v>14</v>
      </c>
      <c r="F1028" s="16" t="n">
        <f aca="false">IF(A1028=A1027,C1028-C1027,"")</f>
        <v>20.48</v>
      </c>
      <c r="G1028" s="16" t="n">
        <f aca="false">IF(A1028=A1027,IF(F1028&gt;0,F1028,0),"")</f>
        <v>20.48</v>
      </c>
      <c r="H1028" s="16" t="n">
        <f aca="false">IF(A1028=A1027,IF(F1028&lt;0,-F1028,0),"")</f>
        <v>0</v>
      </c>
    </row>
    <row r="1029" customFormat="false" ht="15" hidden="false" customHeight="false" outlineLevel="0" collapsed="false">
      <c r="A1029" s="14" t="s">
        <v>98</v>
      </c>
      <c r="B1029" s="15" t="n">
        <v>46219</v>
      </c>
      <c r="C1029" s="14" t="n">
        <v>2270.44</v>
      </c>
      <c r="D1029" s="14" t="n">
        <v>2394557</v>
      </c>
      <c r="E1029" s="16" t="n">
        <f aca="false">COUNTIFS($A$2:$A$1561,A1029,$B$2:$B$1561,"&gt;"&amp;B1029)+1</f>
        <v>13</v>
      </c>
      <c r="F1029" s="16" t="n">
        <f aca="false">IF(A1029=A1028,C1029-C1028,"")</f>
        <v>-6.11999999999989</v>
      </c>
      <c r="G1029" s="16" t="n">
        <f aca="false">IF(A1029=A1028,IF(F1029&gt;0,F1029,0),"")</f>
        <v>0</v>
      </c>
      <c r="H1029" s="16" t="n">
        <f aca="false">IF(A1029=A1028,IF(F1029&lt;0,-F1029,0),"")</f>
        <v>6.11999999999989</v>
      </c>
    </row>
    <row r="1030" customFormat="false" ht="15" hidden="false" customHeight="false" outlineLevel="0" collapsed="false">
      <c r="A1030" s="14" t="s">
        <v>98</v>
      </c>
      <c r="B1030" s="15" t="n">
        <v>46220</v>
      </c>
      <c r="C1030" s="14" t="n">
        <v>2259.44</v>
      </c>
      <c r="D1030" s="14" t="n">
        <v>1128366</v>
      </c>
      <c r="E1030" s="16" t="n">
        <f aca="false">COUNTIFS($A$2:$A$1561,A1030,$B$2:$B$1561,"&gt;"&amp;B1030)+1</f>
        <v>12</v>
      </c>
      <c r="F1030" s="16" t="n">
        <f aca="false">IF(A1030=A1029,C1030-C1029,"")</f>
        <v>-11</v>
      </c>
      <c r="G1030" s="16" t="n">
        <f aca="false">IF(A1030=A1029,IF(F1030&gt;0,F1030,0),"")</f>
        <v>0</v>
      </c>
      <c r="H1030" s="16" t="n">
        <f aca="false">IF(A1030=A1029,IF(F1030&lt;0,-F1030,0),"")</f>
        <v>11</v>
      </c>
    </row>
    <row r="1031" customFormat="false" ht="15" hidden="false" customHeight="false" outlineLevel="0" collapsed="false">
      <c r="A1031" s="14" t="s">
        <v>98</v>
      </c>
      <c r="B1031" s="15" t="n">
        <v>46223</v>
      </c>
      <c r="C1031" s="14" t="n">
        <v>2279.56</v>
      </c>
      <c r="D1031" s="14" t="n">
        <v>2437450</v>
      </c>
      <c r="E1031" s="16" t="n">
        <f aca="false">COUNTIFS($A$2:$A$1561,A1031,$B$2:$B$1561,"&gt;"&amp;B1031)+1</f>
        <v>11</v>
      </c>
      <c r="F1031" s="16" t="n">
        <f aca="false">IF(A1031=A1030,C1031-C1030,"")</f>
        <v>20.1199999999999</v>
      </c>
      <c r="G1031" s="16" t="n">
        <f aca="false">IF(A1031=A1030,IF(F1031&gt;0,F1031,0),"")</f>
        <v>20.1199999999999</v>
      </c>
      <c r="H1031" s="16" t="n">
        <f aca="false">IF(A1031=A1030,IF(F1031&lt;0,-F1031,0),"")</f>
        <v>0</v>
      </c>
    </row>
    <row r="1032" customFormat="false" ht="15" hidden="false" customHeight="false" outlineLevel="0" collapsed="false">
      <c r="A1032" s="14" t="s">
        <v>98</v>
      </c>
      <c r="B1032" s="15" t="n">
        <v>46224</v>
      </c>
      <c r="C1032" s="14" t="n">
        <v>2272.23</v>
      </c>
      <c r="D1032" s="14" t="n">
        <v>1889915</v>
      </c>
      <c r="E1032" s="16" t="n">
        <f aca="false">COUNTIFS($A$2:$A$1561,A1032,$B$2:$B$1561,"&gt;"&amp;B1032)+1</f>
        <v>10</v>
      </c>
      <c r="F1032" s="16" t="n">
        <f aca="false">IF(A1032=A1031,C1032-C1031,"")</f>
        <v>-7.32999999999993</v>
      </c>
      <c r="G1032" s="16" t="n">
        <f aca="false">IF(A1032=A1031,IF(F1032&gt;0,F1032,0),"")</f>
        <v>0</v>
      </c>
      <c r="H1032" s="16" t="n">
        <f aca="false">IF(A1032=A1031,IF(F1032&lt;0,-F1032,0),"")</f>
        <v>7.32999999999993</v>
      </c>
    </row>
    <row r="1033" customFormat="false" ht="15" hidden="false" customHeight="false" outlineLevel="0" collapsed="false">
      <c r="A1033" s="14" t="s">
        <v>98</v>
      </c>
      <c r="B1033" s="15" t="n">
        <v>46225</v>
      </c>
      <c r="C1033" s="14" t="n">
        <v>2273.09</v>
      </c>
      <c r="D1033" s="14" t="n">
        <v>1651758</v>
      </c>
      <c r="E1033" s="16" t="n">
        <f aca="false">COUNTIFS($A$2:$A$1561,A1033,$B$2:$B$1561,"&gt;"&amp;B1033)+1</f>
        <v>9</v>
      </c>
      <c r="F1033" s="16" t="n">
        <f aca="false">IF(A1033=A1032,C1033-C1032,"")</f>
        <v>0.860000000000127</v>
      </c>
      <c r="G1033" s="16" t="n">
        <f aca="false">IF(A1033=A1032,IF(F1033&gt;0,F1033,0),"")</f>
        <v>0.860000000000127</v>
      </c>
      <c r="H1033" s="16" t="n">
        <f aca="false">IF(A1033=A1032,IF(F1033&lt;0,-F1033,0),"")</f>
        <v>0</v>
      </c>
    </row>
    <row r="1034" customFormat="false" ht="15" hidden="false" customHeight="false" outlineLevel="0" collapsed="false">
      <c r="A1034" s="14" t="s">
        <v>98</v>
      </c>
      <c r="B1034" s="15" t="n">
        <v>46226</v>
      </c>
      <c r="C1034" s="14" t="n">
        <v>2263.78</v>
      </c>
      <c r="D1034" s="14" t="n">
        <v>1252110</v>
      </c>
      <c r="E1034" s="16" t="n">
        <f aca="false">COUNTIFS($A$2:$A$1561,A1034,$B$2:$B$1561,"&gt;"&amp;B1034)+1</f>
        <v>8</v>
      </c>
      <c r="F1034" s="16" t="n">
        <f aca="false">IF(A1034=A1033,C1034-C1033,"")</f>
        <v>-9.30999999999995</v>
      </c>
      <c r="G1034" s="16" t="n">
        <f aca="false">IF(A1034=A1033,IF(F1034&gt;0,F1034,0),"")</f>
        <v>0</v>
      </c>
      <c r="H1034" s="16" t="n">
        <f aca="false">IF(A1034=A1033,IF(F1034&lt;0,-F1034,0),"")</f>
        <v>9.30999999999995</v>
      </c>
    </row>
    <row r="1035" customFormat="false" ht="15" hidden="false" customHeight="false" outlineLevel="0" collapsed="false">
      <c r="A1035" s="14" t="s">
        <v>98</v>
      </c>
      <c r="B1035" s="15" t="n">
        <v>46227</v>
      </c>
      <c r="C1035" s="14" t="n">
        <v>2277.9</v>
      </c>
      <c r="D1035" s="14" t="n">
        <v>1285870</v>
      </c>
      <c r="E1035" s="16" t="n">
        <f aca="false">COUNTIFS($A$2:$A$1561,A1035,$B$2:$B$1561,"&gt;"&amp;B1035)+1</f>
        <v>7</v>
      </c>
      <c r="F1035" s="16" t="n">
        <f aca="false">IF(A1035=A1034,C1035-C1034,"")</f>
        <v>14.1199999999999</v>
      </c>
      <c r="G1035" s="16" t="n">
        <f aca="false">IF(A1035=A1034,IF(F1035&gt;0,F1035,0),"")</f>
        <v>14.1199999999999</v>
      </c>
      <c r="H1035" s="16" t="n">
        <f aca="false">IF(A1035=A1034,IF(F1035&lt;0,-F1035,0),"")</f>
        <v>0</v>
      </c>
    </row>
    <row r="1036" customFormat="false" ht="15" hidden="false" customHeight="false" outlineLevel="0" collapsed="false">
      <c r="A1036" s="14" t="s">
        <v>98</v>
      </c>
      <c r="B1036" s="15" t="n">
        <v>46230</v>
      </c>
      <c r="C1036" s="14" t="n">
        <v>2263.29</v>
      </c>
      <c r="D1036" s="14" t="n">
        <v>1627701</v>
      </c>
      <c r="E1036" s="16" t="n">
        <f aca="false">COUNTIFS($A$2:$A$1561,A1036,$B$2:$B$1561,"&gt;"&amp;B1036)+1</f>
        <v>6</v>
      </c>
      <c r="F1036" s="16" t="n">
        <f aca="false">IF(A1036=A1035,C1036-C1035,"")</f>
        <v>-14.6100000000001</v>
      </c>
      <c r="G1036" s="16" t="n">
        <f aca="false">IF(A1036=A1035,IF(F1036&gt;0,F1036,0),"")</f>
        <v>0</v>
      </c>
      <c r="H1036" s="16" t="n">
        <f aca="false">IF(A1036=A1035,IF(F1036&lt;0,-F1036,0),"")</f>
        <v>14.6100000000001</v>
      </c>
    </row>
    <row r="1037" customFormat="false" ht="15" hidden="false" customHeight="false" outlineLevel="0" collapsed="false">
      <c r="A1037" s="14" t="s">
        <v>98</v>
      </c>
      <c r="B1037" s="15" t="n">
        <v>46231</v>
      </c>
      <c r="C1037" s="14" t="n">
        <v>2268.27</v>
      </c>
      <c r="D1037" s="14" t="n">
        <v>1591258</v>
      </c>
      <c r="E1037" s="16" t="n">
        <f aca="false">COUNTIFS($A$2:$A$1561,A1037,$B$2:$B$1561,"&gt;"&amp;B1037)+1</f>
        <v>5</v>
      </c>
      <c r="F1037" s="16" t="n">
        <f aca="false">IF(A1037=A1036,C1037-C1036,"")</f>
        <v>4.98000000000002</v>
      </c>
      <c r="G1037" s="16" t="n">
        <f aca="false">IF(A1037=A1036,IF(F1037&gt;0,F1037,0),"")</f>
        <v>4.98000000000002</v>
      </c>
      <c r="H1037" s="16" t="n">
        <f aca="false">IF(A1037=A1036,IF(F1037&lt;0,-F1037,0),"")</f>
        <v>0</v>
      </c>
    </row>
    <row r="1038" customFormat="false" ht="15" hidden="false" customHeight="false" outlineLevel="0" collapsed="false">
      <c r="A1038" s="14" t="s">
        <v>98</v>
      </c>
      <c r="B1038" s="15" t="n">
        <v>46232</v>
      </c>
      <c r="C1038" s="14" t="n">
        <v>2276.92</v>
      </c>
      <c r="D1038" s="14" t="n">
        <v>1600198</v>
      </c>
      <c r="E1038" s="16" t="n">
        <f aca="false">COUNTIFS($A$2:$A$1561,A1038,$B$2:$B$1561,"&gt;"&amp;B1038)+1</f>
        <v>4</v>
      </c>
      <c r="F1038" s="16" t="n">
        <f aca="false">IF(A1038=A1037,C1038-C1037,"")</f>
        <v>8.65000000000009</v>
      </c>
      <c r="G1038" s="16" t="n">
        <f aca="false">IF(A1038=A1037,IF(F1038&gt;0,F1038,0),"")</f>
        <v>8.65000000000009</v>
      </c>
      <c r="H1038" s="16" t="n">
        <f aca="false">IF(A1038=A1037,IF(F1038&lt;0,-F1038,0),"")</f>
        <v>0</v>
      </c>
    </row>
    <row r="1039" customFormat="false" ht="15" hidden="false" customHeight="false" outlineLevel="0" collapsed="false">
      <c r="A1039" s="14" t="s">
        <v>98</v>
      </c>
      <c r="B1039" s="15" t="n">
        <v>46233</v>
      </c>
      <c r="C1039" s="14" t="n">
        <v>2296.71</v>
      </c>
      <c r="D1039" s="14" t="n">
        <v>1423244</v>
      </c>
      <c r="E1039" s="16" t="n">
        <f aca="false">COUNTIFS($A$2:$A$1561,A1039,$B$2:$B$1561,"&gt;"&amp;B1039)+1</f>
        <v>3</v>
      </c>
      <c r="F1039" s="16" t="n">
        <f aca="false">IF(A1039=A1038,C1039-C1038,"")</f>
        <v>19.79</v>
      </c>
      <c r="G1039" s="16" t="n">
        <f aca="false">IF(A1039=A1038,IF(F1039&gt;0,F1039,0),"")</f>
        <v>19.79</v>
      </c>
      <c r="H1039" s="16" t="n">
        <f aca="false">IF(A1039=A1038,IF(F1039&lt;0,-F1039,0),"")</f>
        <v>0</v>
      </c>
    </row>
    <row r="1040" customFormat="false" ht="15" hidden="false" customHeight="false" outlineLevel="0" collapsed="false">
      <c r="A1040" s="14" t="s">
        <v>98</v>
      </c>
      <c r="B1040" s="15" t="n">
        <v>46234</v>
      </c>
      <c r="C1040" s="14" t="n">
        <v>2306.57</v>
      </c>
      <c r="D1040" s="14" t="n">
        <v>1376909</v>
      </c>
      <c r="E1040" s="16" t="n">
        <f aca="false">COUNTIFS($A$2:$A$1561,A1040,$B$2:$B$1561,"&gt;"&amp;B1040)+1</f>
        <v>2</v>
      </c>
      <c r="F1040" s="16" t="n">
        <f aca="false">IF(A1040=A1039,C1040-C1039,"")</f>
        <v>9.86000000000013</v>
      </c>
      <c r="G1040" s="16" t="n">
        <f aca="false">IF(A1040=A1039,IF(F1040&gt;0,F1040,0),"")</f>
        <v>9.86000000000013</v>
      </c>
      <c r="H1040" s="16" t="n">
        <f aca="false">IF(A1040=A1039,IF(F1040&lt;0,-F1040,0),"")</f>
        <v>0</v>
      </c>
    </row>
    <row r="1041" customFormat="false" ht="15" hidden="false" customHeight="false" outlineLevel="0" collapsed="false">
      <c r="A1041" s="14" t="s">
        <v>98</v>
      </c>
      <c r="B1041" s="15" t="n">
        <v>46237</v>
      </c>
      <c r="C1041" s="14" t="n">
        <v>2299.15</v>
      </c>
      <c r="D1041" s="14" t="n">
        <v>1885670</v>
      </c>
      <c r="E1041" s="16" t="n">
        <f aca="false">COUNTIFS($A$2:$A$1561,A1041,$B$2:$B$1561,"&gt;"&amp;B1041)+1</f>
        <v>1</v>
      </c>
      <c r="F1041" s="16" t="n">
        <f aca="false">IF(A1041=A1040,C1041-C1040,"")</f>
        <v>-7.42000000000007</v>
      </c>
      <c r="G1041" s="16" t="n">
        <f aca="false">IF(A1041=A1040,IF(F1041&gt;0,F1041,0),"")</f>
        <v>0</v>
      </c>
      <c r="H1041" s="16" t="n">
        <f aca="false">IF(A1041=A1040,IF(F1041&lt;0,-F1041,0),"")</f>
        <v>7.42000000000007</v>
      </c>
    </row>
    <row r="1042" customFormat="false" ht="15" hidden="false" customHeight="false" outlineLevel="0" collapsed="false">
      <c r="A1042" s="14" t="s">
        <v>102</v>
      </c>
      <c r="B1042" s="15" t="n">
        <v>45874</v>
      </c>
      <c r="C1042" s="14" t="n">
        <v>2042.75</v>
      </c>
      <c r="D1042" s="14" t="n">
        <v>2091313</v>
      </c>
      <c r="E1042" s="16" t="n">
        <f aca="false">COUNTIFS($A$2:$A$1561,A1042,$B$2:$B$1561,"&gt;"&amp;B1042)+1</f>
        <v>260</v>
      </c>
      <c r="F1042" s="16" t="str">
        <f aca="false">IF(A1042=A1041,C1042-C1041,"")</f>
        <v/>
      </c>
      <c r="G1042" s="16" t="str">
        <f aca="false">IF(A1042=A1041,IF(F1042&gt;0,F1042,0),"")</f>
        <v/>
      </c>
      <c r="H1042" s="16" t="str">
        <f aca="false">IF(A1042=A1041,IF(F1042&lt;0,-F1042,0),"")</f>
        <v/>
      </c>
    </row>
    <row r="1043" customFormat="false" ht="15" hidden="false" customHeight="false" outlineLevel="0" collapsed="false">
      <c r="A1043" s="14" t="s">
        <v>102</v>
      </c>
      <c r="B1043" s="15" t="n">
        <v>45875</v>
      </c>
      <c r="C1043" s="14" t="n">
        <v>2040.51</v>
      </c>
      <c r="D1043" s="14" t="n">
        <v>1498606</v>
      </c>
      <c r="E1043" s="16" t="n">
        <f aca="false">COUNTIFS($A$2:$A$1561,A1043,$B$2:$B$1561,"&gt;"&amp;B1043)+1</f>
        <v>259</v>
      </c>
      <c r="F1043" s="16" t="n">
        <f aca="false">IF(A1043=A1042,C1043-C1042,"")</f>
        <v>-2.24000000000001</v>
      </c>
      <c r="G1043" s="16" t="n">
        <f aca="false">IF(A1043=A1042,IF(F1043&gt;0,F1043,0),"")</f>
        <v>0</v>
      </c>
      <c r="H1043" s="16" t="n">
        <f aca="false">IF(A1043=A1042,IF(F1043&lt;0,-F1043,0),"")</f>
        <v>2.24000000000001</v>
      </c>
    </row>
    <row r="1044" customFormat="false" ht="15" hidden="false" customHeight="false" outlineLevel="0" collapsed="false">
      <c r="A1044" s="14" t="s">
        <v>102</v>
      </c>
      <c r="B1044" s="15" t="n">
        <v>45876</v>
      </c>
      <c r="C1044" s="14" t="n">
        <v>2046.51</v>
      </c>
      <c r="D1044" s="14" t="n">
        <v>984042</v>
      </c>
      <c r="E1044" s="16" t="n">
        <f aca="false">COUNTIFS($A$2:$A$1561,A1044,$B$2:$B$1561,"&gt;"&amp;B1044)+1</f>
        <v>258</v>
      </c>
      <c r="F1044" s="16" t="n">
        <f aca="false">IF(A1044=A1043,C1044-C1043,"")</f>
        <v>6</v>
      </c>
      <c r="G1044" s="16" t="n">
        <f aca="false">IF(A1044=A1043,IF(F1044&gt;0,F1044,0),"")</f>
        <v>6</v>
      </c>
      <c r="H1044" s="16" t="n">
        <f aca="false">IF(A1044=A1043,IF(F1044&lt;0,-F1044,0),"")</f>
        <v>0</v>
      </c>
    </row>
    <row r="1045" customFormat="false" ht="15" hidden="false" customHeight="false" outlineLevel="0" collapsed="false">
      <c r="A1045" s="14" t="s">
        <v>102</v>
      </c>
      <c r="B1045" s="15" t="n">
        <v>45877</v>
      </c>
      <c r="C1045" s="14" t="n">
        <v>2053.46</v>
      </c>
      <c r="D1045" s="14" t="n">
        <v>1930472</v>
      </c>
      <c r="E1045" s="16" t="n">
        <f aca="false">COUNTIFS($A$2:$A$1561,A1045,$B$2:$B$1561,"&gt;"&amp;B1045)+1</f>
        <v>257</v>
      </c>
      <c r="F1045" s="16" t="n">
        <f aca="false">IF(A1045=A1044,C1045-C1044,"")</f>
        <v>6.95000000000005</v>
      </c>
      <c r="G1045" s="16" t="n">
        <f aca="false">IF(A1045=A1044,IF(F1045&gt;0,F1045,0),"")</f>
        <v>6.95000000000005</v>
      </c>
      <c r="H1045" s="16" t="n">
        <f aca="false">IF(A1045=A1044,IF(F1045&lt;0,-F1045,0),"")</f>
        <v>0</v>
      </c>
    </row>
    <row r="1046" customFormat="false" ht="15" hidden="false" customHeight="false" outlineLevel="0" collapsed="false">
      <c r="A1046" s="14" t="s">
        <v>102</v>
      </c>
      <c r="B1046" s="15" t="n">
        <v>45880</v>
      </c>
      <c r="C1046" s="14" t="n">
        <v>2065.26</v>
      </c>
      <c r="D1046" s="14" t="n">
        <v>647930</v>
      </c>
      <c r="E1046" s="16" t="n">
        <f aca="false">COUNTIFS($A$2:$A$1561,A1046,$B$2:$B$1561,"&gt;"&amp;B1046)+1</f>
        <v>256</v>
      </c>
      <c r="F1046" s="16" t="n">
        <f aca="false">IF(A1046=A1045,C1046-C1045,"")</f>
        <v>11.8000000000002</v>
      </c>
      <c r="G1046" s="16" t="n">
        <f aca="false">IF(A1046=A1045,IF(F1046&gt;0,F1046,0),"")</f>
        <v>11.8000000000002</v>
      </c>
      <c r="H1046" s="16" t="n">
        <f aca="false">IF(A1046=A1045,IF(F1046&lt;0,-F1046,0),"")</f>
        <v>0</v>
      </c>
    </row>
    <row r="1047" customFormat="false" ht="15" hidden="false" customHeight="false" outlineLevel="0" collapsed="false">
      <c r="A1047" s="14" t="s">
        <v>102</v>
      </c>
      <c r="B1047" s="15" t="n">
        <v>45881</v>
      </c>
      <c r="C1047" s="14" t="n">
        <v>2084.61</v>
      </c>
      <c r="D1047" s="14" t="n">
        <v>1458469</v>
      </c>
      <c r="E1047" s="16" t="n">
        <f aca="false">COUNTIFS($A$2:$A$1561,A1047,$B$2:$B$1561,"&gt;"&amp;B1047)+1</f>
        <v>255</v>
      </c>
      <c r="F1047" s="16" t="n">
        <f aca="false">IF(A1047=A1046,C1047-C1046,"")</f>
        <v>19.3499999999999</v>
      </c>
      <c r="G1047" s="16" t="n">
        <f aca="false">IF(A1047=A1046,IF(F1047&gt;0,F1047,0),"")</f>
        <v>19.3499999999999</v>
      </c>
      <c r="H1047" s="16" t="n">
        <f aca="false">IF(A1047=A1046,IF(F1047&lt;0,-F1047,0),"")</f>
        <v>0</v>
      </c>
    </row>
    <row r="1048" customFormat="false" ht="15" hidden="false" customHeight="false" outlineLevel="0" collapsed="false">
      <c r="A1048" s="14" t="s">
        <v>102</v>
      </c>
      <c r="B1048" s="15" t="n">
        <v>45882</v>
      </c>
      <c r="C1048" s="14" t="n">
        <v>2082.02</v>
      </c>
      <c r="D1048" s="14" t="n">
        <v>1513225</v>
      </c>
      <c r="E1048" s="16" t="n">
        <f aca="false">COUNTIFS($A$2:$A$1561,A1048,$B$2:$B$1561,"&gt;"&amp;B1048)+1</f>
        <v>254</v>
      </c>
      <c r="F1048" s="16" t="n">
        <f aca="false">IF(A1048=A1047,C1048-C1047,"")</f>
        <v>-2.59000000000015</v>
      </c>
      <c r="G1048" s="16" t="n">
        <f aca="false">IF(A1048=A1047,IF(F1048&gt;0,F1048,0),"")</f>
        <v>0</v>
      </c>
      <c r="H1048" s="16" t="n">
        <f aca="false">IF(A1048=A1047,IF(F1048&lt;0,-F1048,0),"")</f>
        <v>2.59000000000015</v>
      </c>
    </row>
    <row r="1049" customFormat="false" ht="15" hidden="false" customHeight="false" outlineLevel="0" collapsed="false">
      <c r="A1049" s="14" t="s">
        <v>102</v>
      </c>
      <c r="B1049" s="15" t="n">
        <v>45883</v>
      </c>
      <c r="C1049" s="14" t="n">
        <v>2098.9</v>
      </c>
      <c r="D1049" s="14" t="n">
        <v>1883417</v>
      </c>
      <c r="E1049" s="16" t="n">
        <f aca="false">COUNTIFS($A$2:$A$1561,A1049,$B$2:$B$1561,"&gt;"&amp;B1049)+1</f>
        <v>253</v>
      </c>
      <c r="F1049" s="16" t="n">
        <f aca="false">IF(A1049=A1048,C1049-C1048,"")</f>
        <v>16.8800000000001</v>
      </c>
      <c r="G1049" s="16" t="n">
        <f aca="false">IF(A1049=A1048,IF(F1049&gt;0,F1049,0),"")</f>
        <v>16.8800000000001</v>
      </c>
      <c r="H1049" s="16" t="n">
        <f aca="false">IF(A1049=A1048,IF(F1049&lt;0,-F1049,0),"")</f>
        <v>0</v>
      </c>
    </row>
    <row r="1050" customFormat="false" ht="15" hidden="false" customHeight="false" outlineLevel="0" collapsed="false">
      <c r="A1050" s="14" t="s">
        <v>102</v>
      </c>
      <c r="B1050" s="15" t="n">
        <v>45884</v>
      </c>
      <c r="C1050" s="14" t="n">
        <v>2101.68</v>
      </c>
      <c r="D1050" s="14" t="n">
        <v>2081441</v>
      </c>
      <c r="E1050" s="16" t="n">
        <f aca="false">COUNTIFS($A$2:$A$1561,A1050,$B$2:$B$1561,"&gt;"&amp;B1050)+1</f>
        <v>252</v>
      </c>
      <c r="F1050" s="16" t="n">
        <f aca="false">IF(A1050=A1049,C1050-C1049,"")</f>
        <v>2.77999999999975</v>
      </c>
      <c r="G1050" s="16" t="n">
        <f aca="false">IF(A1050=A1049,IF(F1050&gt;0,F1050,0),"")</f>
        <v>2.77999999999975</v>
      </c>
      <c r="H1050" s="16" t="n">
        <f aca="false">IF(A1050=A1049,IF(F1050&lt;0,-F1050,0),"")</f>
        <v>0</v>
      </c>
    </row>
    <row r="1051" customFormat="false" ht="15" hidden="false" customHeight="false" outlineLevel="0" collapsed="false">
      <c r="A1051" s="14" t="s">
        <v>102</v>
      </c>
      <c r="B1051" s="15" t="n">
        <v>45887</v>
      </c>
      <c r="C1051" s="14" t="n">
        <v>2097.5</v>
      </c>
      <c r="D1051" s="14" t="n">
        <v>2291003</v>
      </c>
      <c r="E1051" s="16" t="n">
        <f aca="false">COUNTIFS($A$2:$A$1561,A1051,$B$2:$B$1561,"&gt;"&amp;B1051)+1</f>
        <v>251</v>
      </c>
      <c r="F1051" s="16" t="n">
        <f aca="false">IF(A1051=A1050,C1051-C1050,"")</f>
        <v>-4.17999999999984</v>
      </c>
      <c r="G1051" s="16" t="n">
        <f aca="false">IF(A1051=A1050,IF(F1051&gt;0,F1051,0),"")</f>
        <v>0</v>
      </c>
      <c r="H1051" s="16" t="n">
        <f aca="false">IF(A1051=A1050,IF(F1051&lt;0,-F1051,0),"")</f>
        <v>4.17999999999984</v>
      </c>
    </row>
    <row r="1052" customFormat="false" ht="15" hidden="false" customHeight="false" outlineLevel="0" collapsed="false">
      <c r="A1052" s="14" t="s">
        <v>102</v>
      </c>
      <c r="B1052" s="15" t="n">
        <v>45888</v>
      </c>
      <c r="C1052" s="14" t="n">
        <v>2100.03</v>
      </c>
      <c r="D1052" s="14" t="n">
        <v>1776360</v>
      </c>
      <c r="E1052" s="16" t="n">
        <f aca="false">COUNTIFS($A$2:$A$1561,A1052,$B$2:$B$1561,"&gt;"&amp;B1052)+1</f>
        <v>250</v>
      </c>
      <c r="F1052" s="16" t="n">
        <f aca="false">IF(A1052=A1051,C1052-C1051,"")</f>
        <v>2.5300000000002</v>
      </c>
      <c r="G1052" s="16" t="n">
        <f aca="false">IF(A1052=A1051,IF(F1052&gt;0,F1052,0),"")</f>
        <v>2.5300000000002</v>
      </c>
      <c r="H1052" s="16" t="n">
        <f aca="false">IF(A1052=A1051,IF(F1052&lt;0,-F1052,0),"")</f>
        <v>0</v>
      </c>
    </row>
    <row r="1053" customFormat="false" ht="15" hidden="false" customHeight="false" outlineLevel="0" collapsed="false">
      <c r="A1053" s="14" t="s">
        <v>102</v>
      </c>
      <c r="B1053" s="15" t="n">
        <v>45889</v>
      </c>
      <c r="C1053" s="14" t="n">
        <v>2085.47</v>
      </c>
      <c r="D1053" s="14" t="n">
        <v>2037908</v>
      </c>
      <c r="E1053" s="16" t="n">
        <f aca="false">COUNTIFS($A$2:$A$1561,A1053,$B$2:$B$1561,"&gt;"&amp;B1053)+1</f>
        <v>249</v>
      </c>
      <c r="F1053" s="16" t="n">
        <f aca="false">IF(A1053=A1052,C1053-C1052,"")</f>
        <v>-14.5600000000004</v>
      </c>
      <c r="G1053" s="16" t="n">
        <f aca="false">IF(A1053=A1052,IF(F1053&gt;0,F1053,0),"")</f>
        <v>0</v>
      </c>
      <c r="H1053" s="16" t="n">
        <f aca="false">IF(A1053=A1052,IF(F1053&lt;0,-F1053,0),"")</f>
        <v>14.5600000000004</v>
      </c>
    </row>
    <row r="1054" customFormat="false" ht="15" hidden="false" customHeight="false" outlineLevel="0" collapsed="false">
      <c r="A1054" s="14" t="s">
        <v>102</v>
      </c>
      <c r="B1054" s="15" t="n">
        <v>45890</v>
      </c>
      <c r="C1054" s="14" t="n">
        <v>2092.51</v>
      </c>
      <c r="D1054" s="14" t="n">
        <v>1210017</v>
      </c>
      <c r="E1054" s="16" t="n">
        <f aca="false">COUNTIFS($A$2:$A$1561,A1054,$B$2:$B$1561,"&gt;"&amp;B1054)+1</f>
        <v>248</v>
      </c>
      <c r="F1054" s="16" t="n">
        <f aca="false">IF(A1054=A1053,C1054-C1053,"")</f>
        <v>7.04000000000042</v>
      </c>
      <c r="G1054" s="16" t="n">
        <f aca="false">IF(A1054=A1053,IF(F1054&gt;0,F1054,0),"")</f>
        <v>7.04000000000042</v>
      </c>
      <c r="H1054" s="16" t="n">
        <f aca="false">IF(A1054=A1053,IF(F1054&lt;0,-F1054,0),"")</f>
        <v>0</v>
      </c>
    </row>
    <row r="1055" customFormat="false" ht="15" hidden="false" customHeight="false" outlineLevel="0" collapsed="false">
      <c r="A1055" s="14" t="s">
        <v>102</v>
      </c>
      <c r="B1055" s="15" t="n">
        <v>45891</v>
      </c>
      <c r="C1055" s="14" t="n">
        <v>2099.18</v>
      </c>
      <c r="D1055" s="14" t="n">
        <v>588593</v>
      </c>
      <c r="E1055" s="16" t="n">
        <f aca="false">COUNTIFS($A$2:$A$1561,A1055,$B$2:$B$1561,"&gt;"&amp;B1055)+1</f>
        <v>247</v>
      </c>
      <c r="F1055" s="16" t="n">
        <f aca="false">IF(A1055=A1054,C1055-C1054,"")</f>
        <v>6.66999999999962</v>
      </c>
      <c r="G1055" s="16" t="n">
        <f aca="false">IF(A1055=A1054,IF(F1055&gt;0,F1055,0),"")</f>
        <v>6.66999999999962</v>
      </c>
      <c r="H1055" s="16" t="n">
        <f aca="false">IF(A1055=A1054,IF(F1055&lt;0,-F1055,0),"")</f>
        <v>0</v>
      </c>
    </row>
    <row r="1056" customFormat="false" ht="15" hidden="false" customHeight="false" outlineLevel="0" collapsed="false">
      <c r="A1056" s="14" t="s">
        <v>102</v>
      </c>
      <c r="B1056" s="15" t="n">
        <v>45894</v>
      </c>
      <c r="C1056" s="14" t="n">
        <v>2118.59</v>
      </c>
      <c r="D1056" s="14" t="n">
        <v>1854943</v>
      </c>
      <c r="E1056" s="16" t="n">
        <f aca="false">COUNTIFS($A$2:$A$1561,A1056,$B$2:$B$1561,"&gt;"&amp;B1056)+1</f>
        <v>246</v>
      </c>
      <c r="F1056" s="16" t="n">
        <f aca="false">IF(A1056=A1055,C1056-C1055,"")</f>
        <v>19.4100000000003</v>
      </c>
      <c r="G1056" s="16" t="n">
        <f aca="false">IF(A1056=A1055,IF(F1056&gt;0,F1056,0),"")</f>
        <v>19.4100000000003</v>
      </c>
      <c r="H1056" s="16" t="n">
        <f aca="false">IF(A1056=A1055,IF(F1056&lt;0,-F1056,0),"")</f>
        <v>0</v>
      </c>
    </row>
    <row r="1057" customFormat="false" ht="15" hidden="false" customHeight="false" outlineLevel="0" collapsed="false">
      <c r="A1057" s="14" t="s">
        <v>102</v>
      </c>
      <c r="B1057" s="15" t="n">
        <v>45895</v>
      </c>
      <c r="C1057" s="14" t="n">
        <v>2115.9</v>
      </c>
      <c r="D1057" s="14" t="n">
        <v>2005365</v>
      </c>
      <c r="E1057" s="16" t="n">
        <f aca="false">COUNTIFS($A$2:$A$1561,A1057,$B$2:$B$1561,"&gt;"&amp;B1057)+1</f>
        <v>245</v>
      </c>
      <c r="F1057" s="16" t="n">
        <f aca="false">IF(A1057=A1056,C1057-C1056,"")</f>
        <v>-2.69000000000005</v>
      </c>
      <c r="G1057" s="16" t="n">
        <f aca="false">IF(A1057=A1056,IF(F1057&gt;0,F1057,0),"")</f>
        <v>0</v>
      </c>
      <c r="H1057" s="16" t="n">
        <f aca="false">IF(A1057=A1056,IF(F1057&lt;0,-F1057,0),"")</f>
        <v>2.69000000000005</v>
      </c>
    </row>
    <row r="1058" customFormat="false" ht="15" hidden="false" customHeight="false" outlineLevel="0" collapsed="false">
      <c r="A1058" s="14" t="s">
        <v>102</v>
      </c>
      <c r="B1058" s="15" t="n">
        <v>45896</v>
      </c>
      <c r="C1058" s="14" t="n">
        <v>2134.78</v>
      </c>
      <c r="D1058" s="14" t="n">
        <v>1360911</v>
      </c>
      <c r="E1058" s="16" t="n">
        <f aca="false">COUNTIFS($A$2:$A$1561,A1058,$B$2:$B$1561,"&gt;"&amp;B1058)+1</f>
        <v>244</v>
      </c>
      <c r="F1058" s="16" t="n">
        <f aca="false">IF(A1058=A1057,C1058-C1057,"")</f>
        <v>18.8800000000001</v>
      </c>
      <c r="G1058" s="16" t="n">
        <f aca="false">IF(A1058=A1057,IF(F1058&gt;0,F1058,0),"")</f>
        <v>18.8800000000001</v>
      </c>
      <c r="H1058" s="16" t="n">
        <f aca="false">IF(A1058=A1057,IF(F1058&lt;0,-F1058,0),"")</f>
        <v>0</v>
      </c>
    </row>
    <row r="1059" customFormat="false" ht="15" hidden="false" customHeight="false" outlineLevel="0" collapsed="false">
      <c r="A1059" s="14" t="s">
        <v>102</v>
      </c>
      <c r="B1059" s="15" t="n">
        <v>45897</v>
      </c>
      <c r="C1059" s="14" t="n">
        <v>2117.13</v>
      </c>
      <c r="D1059" s="14" t="n">
        <v>1017476</v>
      </c>
      <c r="E1059" s="16" t="n">
        <f aca="false">COUNTIFS($A$2:$A$1561,A1059,$B$2:$B$1561,"&gt;"&amp;B1059)+1</f>
        <v>243</v>
      </c>
      <c r="F1059" s="16" t="n">
        <f aca="false">IF(A1059=A1058,C1059-C1058,"")</f>
        <v>-17.6500000000001</v>
      </c>
      <c r="G1059" s="16" t="n">
        <f aca="false">IF(A1059=A1058,IF(F1059&gt;0,F1059,0),"")</f>
        <v>0</v>
      </c>
      <c r="H1059" s="16" t="n">
        <f aca="false">IF(A1059=A1058,IF(F1059&lt;0,-F1059,0),"")</f>
        <v>17.6500000000001</v>
      </c>
    </row>
    <row r="1060" customFormat="false" ht="15" hidden="false" customHeight="false" outlineLevel="0" collapsed="false">
      <c r="A1060" s="14" t="s">
        <v>102</v>
      </c>
      <c r="B1060" s="15" t="n">
        <v>45898</v>
      </c>
      <c r="C1060" s="14" t="n">
        <v>2118.68</v>
      </c>
      <c r="D1060" s="14" t="n">
        <v>1537595</v>
      </c>
      <c r="E1060" s="16" t="n">
        <f aca="false">COUNTIFS($A$2:$A$1561,A1060,$B$2:$B$1561,"&gt;"&amp;B1060)+1</f>
        <v>242</v>
      </c>
      <c r="F1060" s="16" t="n">
        <f aca="false">IF(A1060=A1059,C1060-C1059,"")</f>
        <v>1.54999999999973</v>
      </c>
      <c r="G1060" s="16" t="n">
        <f aca="false">IF(A1060=A1059,IF(F1060&gt;0,F1060,0),"")</f>
        <v>1.54999999999973</v>
      </c>
      <c r="H1060" s="16" t="n">
        <f aca="false">IF(A1060=A1059,IF(F1060&lt;0,-F1060,0),"")</f>
        <v>0</v>
      </c>
    </row>
    <row r="1061" customFormat="false" ht="15" hidden="false" customHeight="false" outlineLevel="0" collapsed="false">
      <c r="A1061" s="14" t="s">
        <v>102</v>
      </c>
      <c r="B1061" s="15" t="n">
        <v>45901</v>
      </c>
      <c r="C1061" s="14" t="n">
        <v>2122.89</v>
      </c>
      <c r="D1061" s="14" t="n">
        <v>1650470</v>
      </c>
      <c r="E1061" s="16" t="n">
        <f aca="false">COUNTIFS($A$2:$A$1561,A1061,$B$2:$B$1561,"&gt;"&amp;B1061)+1</f>
        <v>241</v>
      </c>
      <c r="F1061" s="16" t="n">
        <f aca="false">IF(A1061=A1060,C1061-C1060,"")</f>
        <v>4.21000000000004</v>
      </c>
      <c r="G1061" s="16" t="n">
        <f aca="false">IF(A1061=A1060,IF(F1061&gt;0,F1061,0),"")</f>
        <v>4.21000000000004</v>
      </c>
      <c r="H1061" s="16" t="n">
        <f aca="false">IF(A1061=A1060,IF(F1061&lt;0,-F1061,0),"")</f>
        <v>0</v>
      </c>
    </row>
    <row r="1062" customFormat="false" ht="15" hidden="false" customHeight="false" outlineLevel="0" collapsed="false">
      <c r="A1062" s="14" t="s">
        <v>102</v>
      </c>
      <c r="B1062" s="15" t="n">
        <v>45902</v>
      </c>
      <c r="C1062" s="14" t="n">
        <v>2121.97</v>
      </c>
      <c r="D1062" s="14" t="n">
        <v>1282268</v>
      </c>
      <c r="E1062" s="16" t="n">
        <f aca="false">COUNTIFS($A$2:$A$1561,A1062,$B$2:$B$1561,"&gt;"&amp;B1062)+1</f>
        <v>240</v>
      </c>
      <c r="F1062" s="16" t="n">
        <f aca="false">IF(A1062=A1061,C1062-C1061,"")</f>
        <v>-0.920000000000073</v>
      </c>
      <c r="G1062" s="16" t="n">
        <f aca="false">IF(A1062=A1061,IF(F1062&gt;0,F1062,0),"")</f>
        <v>0</v>
      </c>
      <c r="H1062" s="16" t="n">
        <f aca="false">IF(A1062=A1061,IF(F1062&lt;0,-F1062,0),"")</f>
        <v>0.920000000000073</v>
      </c>
    </row>
    <row r="1063" customFormat="false" ht="15" hidden="false" customHeight="false" outlineLevel="0" collapsed="false">
      <c r="A1063" s="14" t="s">
        <v>102</v>
      </c>
      <c r="B1063" s="15" t="n">
        <v>45903</v>
      </c>
      <c r="C1063" s="14" t="n">
        <v>2133.52</v>
      </c>
      <c r="D1063" s="14" t="n">
        <v>1677179</v>
      </c>
      <c r="E1063" s="16" t="n">
        <f aca="false">COUNTIFS($A$2:$A$1561,A1063,$B$2:$B$1561,"&gt;"&amp;B1063)+1</f>
        <v>239</v>
      </c>
      <c r="F1063" s="16" t="n">
        <f aca="false">IF(A1063=A1062,C1063-C1062,"")</f>
        <v>11.5500000000002</v>
      </c>
      <c r="G1063" s="16" t="n">
        <f aca="false">IF(A1063=A1062,IF(F1063&gt;0,F1063,0),"")</f>
        <v>11.5500000000002</v>
      </c>
      <c r="H1063" s="16" t="n">
        <f aca="false">IF(A1063=A1062,IF(F1063&lt;0,-F1063,0),"")</f>
        <v>0</v>
      </c>
    </row>
    <row r="1064" customFormat="false" ht="15" hidden="false" customHeight="false" outlineLevel="0" collapsed="false">
      <c r="A1064" s="14" t="s">
        <v>102</v>
      </c>
      <c r="B1064" s="15" t="n">
        <v>45904</v>
      </c>
      <c r="C1064" s="14" t="n">
        <v>2134.69</v>
      </c>
      <c r="D1064" s="14" t="n">
        <v>1189934</v>
      </c>
      <c r="E1064" s="16" t="n">
        <f aca="false">COUNTIFS($A$2:$A$1561,A1064,$B$2:$B$1561,"&gt;"&amp;B1064)+1</f>
        <v>238</v>
      </c>
      <c r="F1064" s="16" t="n">
        <f aca="false">IF(A1064=A1063,C1064-C1063,"")</f>
        <v>1.17000000000007</v>
      </c>
      <c r="G1064" s="16" t="n">
        <f aca="false">IF(A1064=A1063,IF(F1064&gt;0,F1064,0),"")</f>
        <v>1.17000000000007</v>
      </c>
      <c r="H1064" s="16" t="n">
        <f aca="false">IF(A1064=A1063,IF(F1064&lt;0,-F1064,0),"")</f>
        <v>0</v>
      </c>
    </row>
    <row r="1065" customFormat="false" ht="15" hidden="false" customHeight="false" outlineLevel="0" collapsed="false">
      <c r="A1065" s="14" t="s">
        <v>102</v>
      </c>
      <c r="B1065" s="15" t="n">
        <v>45905</v>
      </c>
      <c r="C1065" s="14" t="n">
        <v>2117.57</v>
      </c>
      <c r="D1065" s="14" t="n">
        <v>709098</v>
      </c>
      <c r="E1065" s="16" t="n">
        <f aca="false">COUNTIFS($A$2:$A$1561,A1065,$B$2:$B$1561,"&gt;"&amp;B1065)+1</f>
        <v>237</v>
      </c>
      <c r="F1065" s="16" t="n">
        <f aca="false">IF(A1065=A1064,C1065-C1064,"")</f>
        <v>-17.1199999999999</v>
      </c>
      <c r="G1065" s="16" t="n">
        <f aca="false">IF(A1065=A1064,IF(F1065&gt;0,F1065,0),"")</f>
        <v>0</v>
      </c>
      <c r="H1065" s="16" t="n">
        <f aca="false">IF(A1065=A1064,IF(F1065&lt;0,-F1065,0),"")</f>
        <v>17.1199999999999</v>
      </c>
    </row>
    <row r="1066" customFormat="false" ht="15" hidden="false" customHeight="false" outlineLevel="0" collapsed="false">
      <c r="A1066" s="14" t="s">
        <v>102</v>
      </c>
      <c r="B1066" s="15" t="n">
        <v>45908</v>
      </c>
      <c r="C1066" s="14" t="n">
        <v>2115.51</v>
      </c>
      <c r="D1066" s="14" t="n">
        <v>2423455</v>
      </c>
      <c r="E1066" s="16" t="n">
        <f aca="false">COUNTIFS($A$2:$A$1561,A1066,$B$2:$B$1561,"&gt;"&amp;B1066)+1</f>
        <v>236</v>
      </c>
      <c r="F1066" s="16" t="n">
        <f aca="false">IF(A1066=A1065,C1066-C1065,"")</f>
        <v>-2.05999999999995</v>
      </c>
      <c r="G1066" s="16" t="n">
        <f aca="false">IF(A1066=A1065,IF(F1066&gt;0,F1066,0),"")</f>
        <v>0</v>
      </c>
      <c r="H1066" s="16" t="n">
        <f aca="false">IF(A1066=A1065,IF(F1066&lt;0,-F1066,0),"")</f>
        <v>2.05999999999995</v>
      </c>
    </row>
    <row r="1067" customFormat="false" ht="15" hidden="false" customHeight="false" outlineLevel="0" collapsed="false">
      <c r="A1067" s="14" t="s">
        <v>102</v>
      </c>
      <c r="B1067" s="15" t="n">
        <v>45909</v>
      </c>
      <c r="C1067" s="14" t="n">
        <v>2102.03</v>
      </c>
      <c r="D1067" s="14" t="n">
        <v>2381352</v>
      </c>
      <c r="E1067" s="16" t="n">
        <f aca="false">COUNTIFS($A$2:$A$1561,A1067,$B$2:$B$1561,"&gt;"&amp;B1067)+1</f>
        <v>235</v>
      </c>
      <c r="F1067" s="16" t="n">
        <f aca="false">IF(A1067=A1066,C1067-C1066,"")</f>
        <v>-13.48</v>
      </c>
      <c r="G1067" s="16" t="n">
        <f aca="false">IF(A1067=A1066,IF(F1067&gt;0,F1067,0),"")</f>
        <v>0</v>
      </c>
      <c r="H1067" s="16" t="n">
        <f aca="false">IF(A1067=A1066,IF(F1067&lt;0,-F1067,0),"")</f>
        <v>13.48</v>
      </c>
    </row>
    <row r="1068" customFormat="false" ht="15" hidden="false" customHeight="false" outlineLevel="0" collapsed="false">
      <c r="A1068" s="14" t="s">
        <v>102</v>
      </c>
      <c r="B1068" s="15" t="n">
        <v>45910</v>
      </c>
      <c r="C1068" s="14" t="n">
        <v>2089.61</v>
      </c>
      <c r="D1068" s="14" t="n">
        <v>1123780</v>
      </c>
      <c r="E1068" s="16" t="n">
        <f aca="false">COUNTIFS($A$2:$A$1561,A1068,$B$2:$B$1561,"&gt;"&amp;B1068)+1</f>
        <v>234</v>
      </c>
      <c r="F1068" s="16" t="n">
        <f aca="false">IF(A1068=A1067,C1068-C1067,"")</f>
        <v>-12.4200000000001</v>
      </c>
      <c r="G1068" s="16" t="n">
        <f aca="false">IF(A1068=A1067,IF(F1068&gt;0,F1068,0),"")</f>
        <v>0</v>
      </c>
      <c r="H1068" s="16" t="n">
        <f aca="false">IF(A1068=A1067,IF(F1068&lt;0,-F1068,0),"")</f>
        <v>12.4200000000001</v>
      </c>
    </row>
    <row r="1069" customFormat="false" ht="15" hidden="false" customHeight="false" outlineLevel="0" collapsed="false">
      <c r="A1069" s="14" t="s">
        <v>102</v>
      </c>
      <c r="B1069" s="15" t="n">
        <v>45911</v>
      </c>
      <c r="C1069" s="14" t="n">
        <v>2089.06</v>
      </c>
      <c r="D1069" s="14" t="n">
        <v>913734</v>
      </c>
      <c r="E1069" s="16" t="n">
        <f aca="false">COUNTIFS($A$2:$A$1561,A1069,$B$2:$B$1561,"&gt;"&amp;B1069)+1</f>
        <v>233</v>
      </c>
      <c r="F1069" s="16" t="n">
        <f aca="false">IF(A1069=A1068,C1069-C1068,"")</f>
        <v>-0.550000000000182</v>
      </c>
      <c r="G1069" s="16" t="n">
        <f aca="false">IF(A1069=A1068,IF(F1069&gt;0,F1069,0),"")</f>
        <v>0</v>
      </c>
      <c r="H1069" s="16" t="n">
        <f aca="false">IF(A1069=A1068,IF(F1069&lt;0,-F1069,0),"")</f>
        <v>0.550000000000182</v>
      </c>
    </row>
    <row r="1070" customFormat="false" ht="15" hidden="false" customHeight="false" outlineLevel="0" collapsed="false">
      <c r="A1070" s="14" t="s">
        <v>102</v>
      </c>
      <c r="B1070" s="15" t="n">
        <v>45912</v>
      </c>
      <c r="C1070" s="14" t="n">
        <v>2089.54</v>
      </c>
      <c r="D1070" s="14" t="n">
        <v>1452325</v>
      </c>
      <c r="E1070" s="16" t="n">
        <f aca="false">COUNTIFS($A$2:$A$1561,A1070,$B$2:$B$1561,"&gt;"&amp;B1070)+1</f>
        <v>232</v>
      </c>
      <c r="F1070" s="16" t="n">
        <f aca="false">IF(A1070=A1069,C1070-C1069,"")</f>
        <v>0.480000000000018</v>
      </c>
      <c r="G1070" s="16" t="n">
        <f aca="false">IF(A1070=A1069,IF(F1070&gt;0,F1070,0),"")</f>
        <v>0.480000000000018</v>
      </c>
      <c r="H1070" s="16" t="n">
        <f aca="false">IF(A1070=A1069,IF(F1070&lt;0,-F1070,0),"")</f>
        <v>0</v>
      </c>
    </row>
    <row r="1071" customFormat="false" ht="15" hidden="false" customHeight="false" outlineLevel="0" collapsed="false">
      <c r="A1071" s="14" t="s">
        <v>102</v>
      </c>
      <c r="B1071" s="15" t="n">
        <v>45915</v>
      </c>
      <c r="C1071" s="14" t="n">
        <v>2088.35</v>
      </c>
      <c r="D1071" s="14" t="n">
        <v>1893526</v>
      </c>
      <c r="E1071" s="16" t="n">
        <f aca="false">COUNTIFS($A$2:$A$1561,A1071,$B$2:$B$1561,"&gt;"&amp;B1071)+1</f>
        <v>231</v>
      </c>
      <c r="F1071" s="16" t="n">
        <f aca="false">IF(A1071=A1070,C1071-C1070,"")</f>
        <v>-1.19000000000005</v>
      </c>
      <c r="G1071" s="16" t="n">
        <f aca="false">IF(A1071=A1070,IF(F1071&gt;0,F1071,0),"")</f>
        <v>0</v>
      </c>
      <c r="H1071" s="16" t="n">
        <f aca="false">IF(A1071=A1070,IF(F1071&lt;0,-F1071,0),"")</f>
        <v>1.19000000000005</v>
      </c>
    </row>
    <row r="1072" customFormat="false" ht="15" hidden="false" customHeight="false" outlineLevel="0" collapsed="false">
      <c r="A1072" s="14" t="s">
        <v>102</v>
      </c>
      <c r="B1072" s="15" t="n">
        <v>45916</v>
      </c>
      <c r="C1072" s="14" t="n">
        <v>2082.67</v>
      </c>
      <c r="D1072" s="14" t="n">
        <v>1100528</v>
      </c>
      <c r="E1072" s="16" t="n">
        <f aca="false">COUNTIFS($A$2:$A$1561,A1072,$B$2:$B$1561,"&gt;"&amp;B1072)+1</f>
        <v>230</v>
      </c>
      <c r="F1072" s="16" t="n">
        <f aca="false">IF(A1072=A1071,C1072-C1071,"")</f>
        <v>-5.67999999999984</v>
      </c>
      <c r="G1072" s="16" t="n">
        <f aca="false">IF(A1072=A1071,IF(F1072&gt;0,F1072,0),"")</f>
        <v>0</v>
      </c>
      <c r="H1072" s="16" t="n">
        <f aca="false">IF(A1072=A1071,IF(F1072&lt;0,-F1072,0),"")</f>
        <v>5.67999999999984</v>
      </c>
    </row>
    <row r="1073" customFormat="false" ht="15" hidden="false" customHeight="false" outlineLevel="0" collapsed="false">
      <c r="A1073" s="14" t="s">
        <v>102</v>
      </c>
      <c r="B1073" s="15" t="n">
        <v>45917</v>
      </c>
      <c r="C1073" s="14" t="n">
        <v>2095.42</v>
      </c>
      <c r="D1073" s="14" t="n">
        <v>730170</v>
      </c>
      <c r="E1073" s="16" t="n">
        <f aca="false">COUNTIFS($A$2:$A$1561,A1073,$B$2:$B$1561,"&gt;"&amp;B1073)+1</f>
        <v>229</v>
      </c>
      <c r="F1073" s="16" t="n">
        <f aca="false">IF(A1073=A1072,C1073-C1072,"")</f>
        <v>12.75</v>
      </c>
      <c r="G1073" s="16" t="n">
        <f aca="false">IF(A1073=A1072,IF(F1073&gt;0,F1073,0),"")</f>
        <v>12.75</v>
      </c>
      <c r="H1073" s="16" t="n">
        <f aca="false">IF(A1073=A1072,IF(F1073&lt;0,-F1073,0),"")</f>
        <v>0</v>
      </c>
    </row>
    <row r="1074" customFormat="false" ht="15" hidden="false" customHeight="false" outlineLevel="0" collapsed="false">
      <c r="A1074" s="14" t="s">
        <v>102</v>
      </c>
      <c r="B1074" s="15" t="n">
        <v>45918</v>
      </c>
      <c r="C1074" s="14" t="n">
        <v>2109.72</v>
      </c>
      <c r="D1074" s="14" t="n">
        <v>1795939</v>
      </c>
      <c r="E1074" s="16" t="n">
        <f aca="false">COUNTIFS($A$2:$A$1561,A1074,$B$2:$B$1561,"&gt;"&amp;B1074)+1</f>
        <v>228</v>
      </c>
      <c r="F1074" s="16" t="n">
        <f aca="false">IF(A1074=A1073,C1074-C1073,"")</f>
        <v>14.2999999999997</v>
      </c>
      <c r="G1074" s="16" t="n">
        <f aca="false">IF(A1074=A1073,IF(F1074&gt;0,F1074,0),"")</f>
        <v>14.2999999999997</v>
      </c>
      <c r="H1074" s="16" t="n">
        <f aca="false">IF(A1074=A1073,IF(F1074&lt;0,-F1074,0),"")</f>
        <v>0</v>
      </c>
    </row>
    <row r="1075" customFormat="false" ht="15" hidden="false" customHeight="false" outlineLevel="0" collapsed="false">
      <c r="A1075" s="14" t="s">
        <v>102</v>
      </c>
      <c r="B1075" s="15" t="n">
        <v>45919</v>
      </c>
      <c r="C1075" s="14" t="n">
        <v>2117.59</v>
      </c>
      <c r="D1075" s="14" t="n">
        <v>828708</v>
      </c>
      <c r="E1075" s="16" t="n">
        <f aca="false">COUNTIFS($A$2:$A$1561,A1075,$B$2:$B$1561,"&gt;"&amp;B1075)+1</f>
        <v>227</v>
      </c>
      <c r="F1075" s="16" t="n">
        <f aca="false">IF(A1075=A1074,C1075-C1074,"")</f>
        <v>7.87000000000035</v>
      </c>
      <c r="G1075" s="16" t="n">
        <f aca="false">IF(A1075=A1074,IF(F1075&gt;0,F1075,0),"")</f>
        <v>7.87000000000035</v>
      </c>
      <c r="H1075" s="16" t="n">
        <f aca="false">IF(A1075=A1074,IF(F1075&lt;0,-F1075,0),"")</f>
        <v>0</v>
      </c>
    </row>
    <row r="1076" customFormat="false" ht="15" hidden="false" customHeight="false" outlineLevel="0" collapsed="false">
      <c r="A1076" s="14" t="s">
        <v>102</v>
      </c>
      <c r="B1076" s="15" t="n">
        <v>45922</v>
      </c>
      <c r="C1076" s="14" t="n">
        <v>2137.18</v>
      </c>
      <c r="D1076" s="14" t="n">
        <v>987825</v>
      </c>
      <c r="E1076" s="16" t="n">
        <f aca="false">COUNTIFS($A$2:$A$1561,A1076,$B$2:$B$1561,"&gt;"&amp;B1076)+1</f>
        <v>226</v>
      </c>
      <c r="F1076" s="16" t="n">
        <f aca="false">IF(A1076=A1075,C1076-C1075,"")</f>
        <v>19.5899999999997</v>
      </c>
      <c r="G1076" s="16" t="n">
        <f aca="false">IF(A1076=A1075,IF(F1076&gt;0,F1076,0),"")</f>
        <v>19.5899999999997</v>
      </c>
      <c r="H1076" s="16" t="n">
        <f aca="false">IF(A1076=A1075,IF(F1076&lt;0,-F1076,0),"")</f>
        <v>0</v>
      </c>
    </row>
    <row r="1077" customFormat="false" ht="15" hidden="false" customHeight="false" outlineLevel="0" collapsed="false">
      <c r="A1077" s="14" t="s">
        <v>102</v>
      </c>
      <c r="B1077" s="15" t="n">
        <v>45923</v>
      </c>
      <c r="C1077" s="14" t="n">
        <v>2125.81</v>
      </c>
      <c r="D1077" s="14" t="n">
        <v>820271</v>
      </c>
      <c r="E1077" s="16" t="n">
        <f aca="false">COUNTIFS($A$2:$A$1561,A1077,$B$2:$B$1561,"&gt;"&amp;B1077)+1</f>
        <v>225</v>
      </c>
      <c r="F1077" s="16" t="n">
        <f aca="false">IF(A1077=A1076,C1077-C1076,"")</f>
        <v>-11.3699999999999</v>
      </c>
      <c r="G1077" s="16" t="n">
        <f aca="false">IF(A1077=A1076,IF(F1077&gt;0,F1077,0),"")</f>
        <v>0</v>
      </c>
      <c r="H1077" s="16" t="n">
        <f aca="false">IF(A1077=A1076,IF(F1077&lt;0,-F1077,0),"")</f>
        <v>11.3699999999999</v>
      </c>
    </row>
    <row r="1078" customFormat="false" ht="15" hidden="false" customHeight="false" outlineLevel="0" collapsed="false">
      <c r="A1078" s="14" t="s">
        <v>102</v>
      </c>
      <c r="B1078" s="15" t="n">
        <v>45924</v>
      </c>
      <c r="C1078" s="14" t="n">
        <v>2129.25</v>
      </c>
      <c r="D1078" s="14" t="n">
        <v>2416925</v>
      </c>
      <c r="E1078" s="16" t="n">
        <f aca="false">COUNTIFS($A$2:$A$1561,A1078,$B$2:$B$1561,"&gt;"&amp;B1078)+1</f>
        <v>224</v>
      </c>
      <c r="F1078" s="16" t="n">
        <f aca="false">IF(A1078=A1077,C1078-C1077,"")</f>
        <v>3.44000000000005</v>
      </c>
      <c r="G1078" s="16" t="n">
        <f aca="false">IF(A1078=A1077,IF(F1078&gt;0,F1078,0),"")</f>
        <v>3.44000000000005</v>
      </c>
      <c r="H1078" s="16" t="n">
        <f aca="false">IF(A1078=A1077,IF(F1078&lt;0,-F1078,0),"")</f>
        <v>0</v>
      </c>
    </row>
    <row r="1079" customFormat="false" ht="15" hidden="false" customHeight="false" outlineLevel="0" collapsed="false">
      <c r="A1079" s="14" t="s">
        <v>102</v>
      </c>
      <c r="B1079" s="15" t="n">
        <v>45925</v>
      </c>
      <c r="C1079" s="14" t="n">
        <v>2120.12</v>
      </c>
      <c r="D1079" s="14" t="n">
        <v>1310094</v>
      </c>
      <c r="E1079" s="16" t="n">
        <f aca="false">COUNTIFS($A$2:$A$1561,A1079,$B$2:$B$1561,"&gt;"&amp;B1079)+1</f>
        <v>223</v>
      </c>
      <c r="F1079" s="16" t="n">
        <f aca="false">IF(A1079=A1078,C1079-C1078,"")</f>
        <v>-9.13000000000011</v>
      </c>
      <c r="G1079" s="16" t="n">
        <f aca="false">IF(A1079=A1078,IF(F1079&gt;0,F1079,0),"")</f>
        <v>0</v>
      </c>
      <c r="H1079" s="16" t="n">
        <f aca="false">IF(A1079=A1078,IF(F1079&lt;0,-F1079,0),"")</f>
        <v>9.13000000000011</v>
      </c>
    </row>
    <row r="1080" customFormat="false" ht="15" hidden="false" customHeight="false" outlineLevel="0" collapsed="false">
      <c r="A1080" s="14" t="s">
        <v>102</v>
      </c>
      <c r="B1080" s="15" t="n">
        <v>45926</v>
      </c>
      <c r="C1080" s="14" t="n">
        <v>2109.22</v>
      </c>
      <c r="D1080" s="14" t="n">
        <v>1780957</v>
      </c>
      <c r="E1080" s="16" t="n">
        <f aca="false">COUNTIFS($A$2:$A$1561,A1080,$B$2:$B$1561,"&gt;"&amp;B1080)+1</f>
        <v>222</v>
      </c>
      <c r="F1080" s="16" t="n">
        <f aca="false">IF(A1080=A1079,C1080-C1079,"")</f>
        <v>-10.9000000000001</v>
      </c>
      <c r="G1080" s="16" t="n">
        <f aca="false">IF(A1080=A1079,IF(F1080&gt;0,F1080,0),"")</f>
        <v>0</v>
      </c>
      <c r="H1080" s="16" t="n">
        <f aca="false">IF(A1080=A1079,IF(F1080&lt;0,-F1080,0),"")</f>
        <v>10.9000000000001</v>
      </c>
    </row>
    <row r="1081" customFormat="false" ht="15" hidden="false" customHeight="false" outlineLevel="0" collapsed="false">
      <c r="A1081" s="14" t="s">
        <v>102</v>
      </c>
      <c r="B1081" s="15" t="n">
        <v>45929</v>
      </c>
      <c r="C1081" s="14" t="n">
        <v>2107.78</v>
      </c>
      <c r="D1081" s="14" t="n">
        <v>558384</v>
      </c>
      <c r="E1081" s="16" t="n">
        <f aca="false">COUNTIFS($A$2:$A$1561,A1081,$B$2:$B$1561,"&gt;"&amp;B1081)+1</f>
        <v>221</v>
      </c>
      <c r="F1081" s="16" t="n">
        <f aca="false">IF(A1081=A1080,C1081-C1080,"")</f>
        <v>-1.4399999999996</v>
      </c>
      <c r="G1081" s="16" t="n">
        <f aca="false">IF(A1081=A1080,IF(F1081&gt;0,F1081,0),"")</f>
        <v>0</v>
      </c>
      <c r="H1081" s="16" t="n">
        <f aca="false">IF(A1081=A1080,IF(F1081&lt;0,-F1081,0),"")</f>
        <v>1.4399999999996</v>
      </c>
    </row>
    <row r="1082" customFormat="false" ht="15" hidden="false" customHeight="false" outlineLevel="0" collapsed="false">
      <c r="A1082" s="14" t="s">
        <v>102</v>
      </c>
      <c r="B1082" s="15" t="n">
        <v>45930</v>
      </c>
      <c r="C1082" s="14" t="n">
        <v>2113.25</v>
      </c>
      <c r="D1082" s="14" t="n">
        <v>894648</v>
      </c>
      <c r="E1082" s="16" t="n">
        <f aca="false">COUNTIFS($A$2:$A$1561,A1082,$B$2:$B$1561,"&gt;"&amp;B1082)+1</f>
        <v>220</v>
      </c>
      <c r="F1082" s="16" t="n">
        <f aca="false">IF(A1082=A1081,C1082-C1081,"")</f>
        <v>5.4699999999998</v>
      </c>
      <c r="G1082" s="16" t="n">
        <f aca="false">IF(A1082=A1081,IF(F1082&gt;0,F1082,0),"")</f>
        <v>5.4699999999998</v>
      </c>
      <c r="H1082" s="16" t="n">
        <f aca="false">IF(A1082=A1081,IF(F1082&lt;0,-F1082,0),"")</f>
        <v>0</v>
      </c>
    </row>
    <row r="1083" customFormat="false" ht="15" hidden="false" customHeight="false" outlineLevel="0" collapsed="false">
      <c r="A1083" s="14" t="s">
        <v>102</v>
      </c>
      <c r="B1083" s="15" t="n">
        <v>45931</v>
      </c>
      <c r="C1083" s="14" t="n">
        <v>2117.9</v>
      </c>
      <c r="D1083" s="14" t="n">
        <v>1277671</v>
      </c>
      <c r="E1083" s="16" t="n">
        <f aca="false">COUNTIFS($A$2:$A$1561,A1083,$B$2:$B$1561,"&gt;"&amp;B1083)+1</f>
        <v>219</v>
      </c>
      <c r="F1083" s="16" t="n">
        <f aca="false">IF(A1083=A1082,C1083-C1082,"")</f>
        <v>4.65000000000009</v>
      </c>
      <c r="G1083" s="16" t="n">
        <f aca="false">IF(A1083=A1082,IF(F1083&gt;0,F1083,0),"")</f>
        <v>4.65000000000009</v>
      </c>
      <c r="H1083" s="16" t="n">
        <f aca="false">IF(A1083=A1082,IF(F1083&lt;0,-F1083,0),"")</f>
        <v>0</v>
      </c>
    </row>
    <row r="1084" customFormat="false" ht="15" hidden="false" customHeight="false" outlineLevel="0" collapsed="false">
      <c r="A1084" s="14" t="s">
        <v>102</v>
      </c>
      <c r="B1084" s="15" t="n">
        <v>45932</v>
      </c>
      <c r="C1084" s="14" t="n">
        <v>2126.85</v>
      </c>
      <c r="D1084" s="14" t="n">
        <v>911568</v>
      </c>
      <c r="E1084" s="16" t="n">
        <f aca="false">COUNTIFS($A$2:$A$1561,A1084,$B$2:$B$1561,"&gt;"&amp;B1084)+1</f>
        <v>218</v>
      </c>
      <c r="F1084" s="16" t="n">
        <f aca="false">IF(A1084=A1083,C1084-C1083,"")</f>
        <v>8.94999999999982</v>
      </c>
      <c r="G1084" s="16" t="n">
        <f aca="false">IF(A1084=A1083,IF(F1084&gt;0,F1084,0),"")</f>
        <v>8.94999999999982</v>
      </c>
      <c r="H1084" s="16" t="n">
        <f aca="false">IF(A1084=A1083,IF(F1084&lt;0,-F1084,0),"")</f>
        <v>0</v>
      </c>
    </row>
    <row r="1085" customFormat="false" ht="15" hidden="false" customHeight="false" outlineLevel="0" collapsed="false">
      <c r="A1085" s="14" t="s">
        <v>102</v>
      </c>
      <c r="B1085" s="15" t="n">
        <v>45933</v>
      </c>
      <c r="C1085" s="14" t="n">
        <v>2137.66</v>
      </c>
      <c r="D1085" s="14" t="n">
        <v>2117459</v>
      </c>
      <c r="E1085" s="16" t="n">
        <f aca="false">COUNTIFS($A$2:$A$1561,A1085,$B$2:$B$1561,"&gt;"&amp;B1085)+1</f>
        <v>217</v>
      </c>
      <c r="F1085" s="16" t="n">
        <f aca="false">IF(A1085=A1084,C1085-C1084,"")</f>
        <v>10.8099999999999</v>
      </c>
      <c r="G1085" s="16" t="n">
        <f aca="false">IF(A1085=A1084,IF(F1085&gt;0,F1085,0),"")</f>
        <v>10.8099999999999</v>
      </c>
      <c r="H1085" s="16" t="n">
        <f aca="false">IF(A1085=A1084,IF(F1085&lt;0,-F1085,0),"")</f>
        <v>0</v>
      </c>
    </row>
    <row r="1086" customFormat="false" ht="15" hidden="false" customHeight="false" outlineLevel="0" collapsed="false">
      <c r="A1086" s="14" t="s">
        <v>102</v>
      </c>
      <c r="B1086" s="15" t="n">
        <v>45936</v>
      </c>
      <c r="C1086" s="14" t="n">
        <v>2121.98</v>
      </c>
      <c r="D1086" s="14" t="n">
        <v>703504</v>
      </c>
      <c r="E1086" s="16" t="n">
        <f aca="false">COUNTIFS($A$2:$A$1561,A1086,$B$2:$B$1561,"&gt;"&amp;B1086)+1</f>
        <v>216</v>
      </c>
      <c r="F1086" s="16" t="n">
        <f aca="false">IF(A1086=A1085,C1086-C1085,"")</f>
        <v>-15.6799999999998</v>
      </c>
      <c r="G1086" s="16" t="n">
        <f aca="false">IF(A1086=A1085,IF(F1086&gt;0,F1086,0),"")</f>
        <v>0</v>
      </c>
      <c r="H1086" s="16" t="n">
        <f aca="false">IF(A1086=A1085,IF(F1086&lt;0,-F1086,0),"")</f>
        <v>15.6799999999998</v>
      </c>
    </row>
    <row r="1087" customFormat="false" ht="15" hidden="false" customHeight="false" outlineLevel="0" collapsed="false">
      <c r="A1087" s="14" t="s">
        <v>102</v>
      </c>
      <c r="B1087" s="15" t="n">
        <v>45937</v>
      </c>
      <c r="C1087" s="14" t="n">
        <v>2137.33</v>
      </c>
      <c r="D1087" s="14" t="n">
        <v>873919</v>
      </c>
      <c r="E1087" s="16" t="n">
        <f aca="false">COUNTIFS($A$2:$A$1561,A1087,$B$2:$B$1561,"&gt;"&amp;B1087)+1</f>
        <v>215</v>
      </c>
      <c r="F1087" s="16" t="n">
        <f aca="false">IF(A1087=A1086,C1087-C1086,"")</f>
        <v>15.3499999999999</v>
      </c>
      <c r="G1087" s="16" t="n">
        <f aca="false">IF(A1087=A1086,IF(F1087&gt;0,F1087,0),"")</f>
        <v>15.3499999999999</v>
      </c>
      <c r="H1087" s="16" t="n">
        <f aca="false">IF(A1087=A1086,IF(F1087&lt;0,-F1087,0),"")</f>
        <v>0</v>
      </c>
    </row>
    <row r="1088" customFormat="false" ht="15" hidden="false" customHeight="false" outlineLevel="0" collapsed="false">
      <c r="A1088" s="14" t="s">
        <v>102</v>
      </c>
      <c r="B1088" s="15" t="n">
        <v>45938</v>
      </c>
      <c r="C1088" s="14" t="n">
        <v>2131.79</v>
      </c>
      <c r="D1088" s="14" t="n">
        <v>1415100</v>
      </c>
      <c r="E1088" s="16" t="n">
        <f aca="false">COUNTIFS($A$2:$A$1561,A1088,$B$2:$B$1561,"&gt;"&amp;B1088)+1</f>
        <v>214</v>
      </c>
      <c r="F1088" s="16" t="n">
        <f aca="false">IF(A1088=A1087,C1088-C1087,"")</f>
        <v>-5.53999999999996</v>
      </c>
      <c r="G1088" s="16" t="n">
        <f aca="false">IF(A1088=A1087,IF(F1088&gt;0,F1088,0),"")</f>
        <v>0</v>
      </c>
      <c r="H1088" s="16" t="n">
        <f aca="false">IF(A1088=A1087,IF(F1088&lt;0,-F1088,0),"")</f>
        <v>5.53999999999996</v>
      </c>
    </row>
    <row r="1089" customFormat="false" ht="15" hidden="false" customHeight="false" outlineLevel="0" collapsed="false">
      <c r="A1089" s="14" t="s">
        <v>102</v>
      </c>
      <c r="B1089" s="15" t="n">
        <v>45939</v>
      </c>
      <c r="C1089" s="14" t="n">
        <v>2123.82</v>
      </c>
      <c r="D1089" s="14" t="n">
        <v>2225273</v>
      </c>
      <c r="E1089" s="16" t="n">
        <f aca="false">COUNTIFS($A$2:$A$1561,A1089,$B$2:$B$1561,"&gt;"&amp;B1089)+1</f>
        <v>213</v>
      </c>
      <c r="F1089" s="16" t="n">
        <f aca="false">IF(A1089=A1088,C1089-C1088,"")</f>
        <v>-7.9699999999998</v>
      </c>
      <c r="G1089" s="16" t="n">
        <f aca="false">IF(A1089=A1088,IF(F1089&gt;0,F1089,0),"")</f>
        <v>0</v>
      </c>
      <c r="H1089" s="16" t="n">
        <f aca="false">IF(A1089=A1088,IF(F1089&lt;0,-F1089,0),"")</f>
        <v>7.9699999999998</v>
      </c>
    </row>
    <row r="1090" customFormat="false" ht="15" hidden="false" customHeight="false" outlineLevel="0" collapsed="false">
      <c r="A1090" s="14" t="s">
        <v>102</v>
      </c>
      <c r="B1090" s="15" t="n">
        <v>45940</v>
      </c>
      <c r="C1090" s="14" t="n">
        <v>2126.03</v>
      </c>
      <c r="D1090" s="14" t="n">
        <v>1778217</v>
      </c>
      <c r="E1090" s="16" t="n">
        <f aca="false">COUNTIFS($A$2:$A$1561,A1090,$B$2:$B$1561,"&gt;"&amp;B1090)+1</f>
        <v>212</v>
      </c>
      <c r="F1090" s="16" t="n">
        <f aca="false">IF(A1090=A1089,C1090-C1089,"")</f>
        <v>2.21000000000004</v>
      </c>
      <c r="G1090" s="16" t="n">
        <f aca="false">IF(A1090=A1089,IF(F1090&gt;0,F1090,0),"")</f>
        <v>2.21000000000004</v>
      </c>
      <c r="H1090" s="16" t="n">
        <f aca="false">IF(A1090=A1089,IF(F1090&lt;0,-F1090,0),"")</f>
        <v>0</v>
      </c>
    </row>
    <row r="1091" customFormat="false" ht="15" hidden="false" customHeight="false" outlineLevel="0" collapsed="false">
      <c r="A1091" s="14" t="s">
        <v>102</v>
      </c>
      <c r="B1091" s="15" t="n">
        <v>45943</v>
      </c>
      <c r="C1091" s="14" t="n">
        <v>2130.89</v>
      </c>
      <c r="D1091" s="14" t="n">
        <v>1722616</v>
      </c>
      <c r="E1091" s="16" t="n">
        <f aca="false">COUNTIFS($A$2:$A$1561,A1091,$B$2:$B$1561,"&gt;"&amp;B1091)+1</f>
        <v>211</v>
      </c>
      <c r="F1091" s="16" t="n">
        <f aca="false">IF(A1091=A1090,C1091-C1090,"")</f>
        <v>4.85999999999967</v>
      </c>
      <c r="G1091" s="16" t="n">
        <f aca="false">IF(A1091=A1090,IF(F1091&gt;0,F1091,0),"")</f>
        <v>4.85999999999967</v>
      </c>
      <c r="H1091" s="16" t="n">
        <f aca="false">IF(A1091=A1090,IF(F1091&lt;0,-F1091,0),"")</f>
        <v>0</v>
      </c>
    </row>
    <row r="1092" customFormat="false" ht="15" hidden="false" customHeight="false" outlineLevel="0" collapsed="false">
      <c r="A1092" s="14" t="s">
        <v>102</v>
      </c>
      <c r="B1092" s="15" t="n">
        <v>45944</v>
      </c>
      <c r="C1092" s="14" t="n">
        <v>2135.38</v>
      </c>
      <c r="D1092" s="14" t="n">
        <v>1195849</v>
      </c>
      <c r="E1092" s="16" t="n">
        <f aca="false">COUNTIFS($A$2:$A$1561,A1092,$B$2:$B$1561,"&gt;"&amp;B1092)+1</f>
        <v>210</v>
      </c>
      <c r="F1092" s="16" t="n">
        <f aca="false">IF(A1092=A1091,C1092-C1091,"")</f>
        <v>4.49000000000024</v>
      </c>
      <c r="G1092" s="16" t="n">
        <f aca="false">IF(A1092=A1091,IF(F1092&gt;0,F1092,0),"")</f>
        <v>4.49000000000024</v>
      </c>
      <c r="H1092" s="16" t="n">
        <f aca="false">IF(A1092=A1091,IF(F1092&lt;0,-F1092,0),"")</f>
        <v>0</v>
      </c>
    </row>
    <row r="1093" customFormat="false" ht="15" hidden="false" customHeight="false" outlineLevel="0" collapsed="false">
      <c r="A1093" s="14" t="s">
        <v>102</v>
      </c>
      <c r="B1093" s="15" t="n">
        <v>45945</v>
      </c>
      <c r="C1093" s="14" t="n">
        <v>2149.81</v>
      </c>
      <c r="D1093" s="14" t="n">
        <v>1734725</v>
      </c>
      <c r="E1093" s="16" t="n">
        <f aca="false">COUNTIFS($A$2:$A$1561,A1093,$B$2:$B$1561,"&gt;"&amp;B1093)+1</f>
        <v>209</v>
      </c>
      <c r="F1093" s="16" t="n">
        <f aca="false">IF(A1093=A1092,C1093-C1092,"")</f>
        <v>14.4299999999998</v>
      </c>
      <c r="G1093" s="16" t="n">
        <f aca="false">IF(A1093=A1092,IF(F1093&gt;0,F1093,0),"")</f>
        <v>14.4299999999998</v>
      </c>
      <c r="H1093" s="16" t="n">
        <f aca="false">IF(A1093=A1092,IF(F1093&lt;0,-F1093,0),"")</f>
        <v>0</v>
      </c>
    </row>
    <row r="1094" customFormat="false" ht="15" hidden="false" customHeight="false" outlineLevel="0" collapsed="false">
      <c r="A1094" s="14" t="s">
        <v>102</v>
      </c>
      <c r="B1094" s="15" t="n">
        <v>45946</v>
      </c>
      <c r="C1094" s="14" t="n">
        <v>2163.11</v>
      </c>
      <c r="D1094" s="14" t="n">
        <v>1911976</v>
      </c>
      <c r="E1094" s="16" t="n">
        <f aca="false">COUNTIFS($A$2:$A$1561,A1094,$B$2:$B$1561,"&gt;"&amp;B1094)+1</f>
        <v>208</v>
      </c>
      <c r="F1094" s="16" t="n">
        <f aca="false">IF(A1094=A1093,C1094-C1093,"")</f>
        <v>13.3000000000002</v>
      </c>
      <c r="G1094" s="16" t="n">
        <f aca="false">IF(A1094=A1093,IF(F1094&gt;0,F1094,0),"")</f>
        <v>13.3000000000002</v>
      </c>
      <c r="H1094" s="16" t="n">
        <f aca="false">IF(A1094=A1093,IF(F1094&lt;0,-F1094,0),"")</f>
        <v>0</v>
      </c>
    </row>
    <row r="1095" customFormat="false" ht="15" hidden="false" customHeight="false" outlineLevel="0" collapsed="false">
      <c r="A1095" s="14" t="s">
        <v>102</v>
      </c>
      <c r="B1095" s="15" t="n">
        <v>45947</v>
      </c>
      <c r="C1095" s="14" t="n">
        <v>2156.39</v>
      </c>
      <c r="D1095" s="14" t="n">
        <v>1728969</v>
      </c>
      <c r="E1095" s="16" t="n">
        <f aca="false">COUNTIFS($A$2:$A$1561,A1095,$B$2:$B$1561,"&gt;"&amp;B1095)+1</f>
        <v>207</v>
      </c>
      <c r="F1095" s="16" t="n">
        <f aca="false">IF(A1095=A1094,C1095-C1094,"")</f>
        <v>-6.72000000000026</v>
      </c>
      <c r="G1095" s="16" t="n">
        <f aca="false">IF(A1095=A1094,IF(F1095&gt;0,F1095,0),"")</f>
        <v>0</v>
      </c>
      <c r="H1095" s="16" t="n">
        <f aca="false">IF(A1095=A1094,IF(F1095&lt;0,-F1095,0),"")</f>
        <v>6.72000000000026</v>
      </c>
    </row>
    <row r="1096" customFormat="false" ht="15" hidden="false" customHeight="false" outlineLevel="0" collapsed="false">
      <c r="A1096" s="14" t="s">
        <v>102</v>
      </c>
      <c r="B1096" s="15" t="n">
        <v>45950</v>
      </c>
      <c r="C1096" s="14" t="n">
        <v>2141.44</v>
      </c>
      <c r="D1096" s="14" t="n">
        <v>767895</v>
      </c>
      <c r="E1096" s="16" t="n">
        <f aca="false">COUNTIFS($A$2:$A$1561,A1096,$B$2:$B$1561,"&gt;"&amp;B1096)+1</f>
        <v>206</v>
      </c>
      <c r="F1096" s="16" t="n">
        <f aca="false">IF(A1096=A1095,C1096-C1095,"")</f>
        <v>-14.9499999999998</v>
      </c>
      <c r="G1096" s="16" t="n">
        <f aca="false">IF(A1096=A1095,IF(F1096&gt;0,F1096,0),"")</f>
        <v>0</v>
      </c>
      <c r="H1096" s="16" t="n">
        <f aca="false">IF(A1096=A1095,IF(F1096&lt;0,-F1096,0),"")</f>
        <v>14.9499999999998</v>
      </c>
    </row>
    <row r="1097" customFormat="false" ht="15" hidden="false" customHeight="false" outlineLevel="0" collapsed="false">
      <c r="A1097" s="14" t="s">
        <v>102</v>
      </c>
      <c r="B1097" s="15" t="n">
        <v>45951</v>
      </c>
      <c r="C1097" s="14" t="n">
        <v>2127.87</v>
      </c>
      <c r="D1097" s="14" t="n">
        <v>1110760</v>
      </c>
      <c r="E1097" s="16" t="n">
        <f aca="false">COUNTIFS($A$2:$A$1561,A1097,$B$2:$B$1561,"&gt;"&amp;B1097)+1</f>
        <v>205</v>
      </c>
      <c r="F1097" s="16" t="n">
        <f aca="false">IF(A1097=A1096,C1097-C1096,"")</f>
        <v>-13.5700000000002</v>
      </c>
      <c r="G1097" s="16" t="n">
        <f aca="false">IF(A1097=A1096,IF(F1097&gt;0,F1097,0),"")</f>
        <v>0</v>
      </c>
      <c r="H1097" s="16" t="n">
        <f aca="false">IF(A1097=A1096,IF(F1097&lt;0,-F1097,0),"")</f>
        <v>13.5700000000002</v>
      </c>
    </row>
    <row r="1098" customFormat="false" ht="15" hidden="false" customHeight="false" outlineLevel="0" collapsed="false">
      <c r="A1098" s="14" t="s">
        <v>102</v>
      </c>
      <c r="B1098" s="15" t="n">
        <v>45952</v>
      </c>
      <c r="C1098" s="14" t="n">
        <v>2116.88</v>
      </c>
      <c r="D1098" s="14" t="n">
        <v>1886873</v>
      </c>
      <c r="E1098" s="16" t="n">
        <f aca="false">COUNTIFS($A$2:$A$1561,A1098,$B$2:$B$1561,"&gt;"&amp;B1098)+1</f>
        <v>204</v>
      </c>
      <c r="F1098" s="16" t="n">
        <f aca="false">IF(A1098=A1097,C1098-C1097,"")</f>
        <v>-10.9899999999998</v>
      </c>
      <c r="G1098" s="16" t="n">
        <f aca="false">IF(A1098=A1097,IF(F1098&gt;0,F1098,0),"")</f>
        <v>0</v>
      </c>
      <c r="H1098" s="16" t="n">
        <f aca="false">IF(A1098=A1097,IF(F1098&lt;0,-F1098,0),"")</f>
        <v>10.9899999999998</v>
      </c>
    </row>
    <row r="1099" customFormat="false" ht="15" hidden="false" customHeight="false" outlineLevel="0" collapsed="false">
      <c r="A1099" s="14" t="s">
        <v>102</v>
      </c>
      <c r="B1099" s="15" t="n">
        <v>45953</v>
      </c>
      <c r="C1099" s="14" t="n">
        <v>2118.43</v>
      </c>
      <c r="D1099" s="14" t="n">
        <v>1336478</v>
      </c>
      <c r="E1099" s="16" t="n">
        <f aca="false">COUNTIFS($A$2:$A$1561,A1099,$B$2:$B$1561,"&gt;"&amp;B1099)+1</f>
        <v>203</v>
      </c>
      <c r="F1099" s="16" t="n">
        <f aca="false">IF(A1099=A1098,C1099-C1098,"")</f>
        <v>1.54999999999973</v>
      </c>
      <c r="G1099" s="16" t="n">
        <f aca="false">IF(A1099=A1098,IF(F1099&gt;0,F1099,0),"")</f>
        <v>1.54999999999973</v>
      </c>
      <c r="H1099" s="16" t="n">
        <f aca="false">IF(A1099=A1098,IF(F1099&lt;0,-F1099,0),"")</f>
        <v>0</v>
      </c>
    </row>
    <row r="1100" customFormat="false" ht="15" hidden="false" customHeight="false" outlineLevel="0" collapsed="false">
      <c r="A1100" s="14" t="s">
        <v>102</v>
      </c>
      <c r="B1100" s="15" t="n">
        <v>45954</v>
      </c>
      <c r="C1100" s="14" t="n">
        <v>2105.77</v>
      </c>
      <c r="D1100" s="14" t="n">
        <v>1267419</v>
      </c>
      <c r="E1100" s="16" t="n">
        <f aca="false">COUNTIFS($A$2:$A$1561,A1100,$B$2:$B$1561,"&gt;"&amp;B1100)+1</f>
        <v>202</v>
      </c>
      <c r="F1100" s="16" t="n">
        <f aca="false">IF(A1100=A1099,C1100-C1099,"")</f>
        <v>-12.6599999999999</v>
      </c>
      <c r="G1100" s="16" t="n">
        <f aca="false">IF(A1100=A1099,IF(F1100&gt;0,F1100,0),"")</f>
        <v>0</v>
      </c>
      <c r="H1100" s="16" t="n">
        <f aca="false">IF(A1100=A1099,IF(F1100&lt;0,-F1100,0),"")</f>
        <v>12.6599999999999</v>
      </c>
    </row>
    <row r="1101" customFormat="false" ht="15" hidden="false" customHeight="false" outlineLevel="0" collapsed="false">
      <c r="A1101" s="14" t="s">
        <v>102</v>
      </c>
      <c r="B1101" s="15" t="n">
        <v>45957</v>
      </c>
      <c r="C1101" s="14" t="n">
        <v>2094.99</v>
      </c>
      <c r="D1101" s="14" t="n">
        <v>1771003</v>
      </c>
      <c r="E1101" s="16" t="n">
        <f aca="false">COUNTIFS($A$2:$A$1561,A1101,$B$2:$B$1561,"&gt;"&amp;B1101)+1</f>
        <v>201</v>
      </c>
      <c r="F1101" s="16" t="n">
        <f aca="false">IF(A1101=A1100,C1101-C1100,"")</f>
        <v>-10.7800000000002</v>
      </c>
      <c r="G1101" s="16" t="n">
        <f aca="false">IF(A1101=A1100,IF(F1101&gt;0,F1101,0),"")</f>
        <v>0</v>
      </c>
      <c r="H1101" s="16" t="n">
        <f aca="false">IF(A1101=A1100,IF(F1101&lt;0,-F1101,0),"")</f>
        <v>10.7800000000002</v>
      </c>
    </row>
    <row r="1102" customFormat="false" ht="15" hidden="false" customHeight="false" outlineLevel="0" collapsed="false">
      <c r="A1102" s="14" t="s">
        <v>102</v>
      </c>
      <c r="B1102" s="15" t="n">
        <v>45958</v>
      </c>
      <c r="C1102" s="14" t="n">
        <v>2103.42</v>
      </c>
      <c r="D1102" s="14" t="n">
        <v>1790520</v>
      </c>
      <c r="E1102" s="16" t="n">
        <f aca="false">COUNTIFS($A$2:$A$1561,A1102,$B$2:$B$1561,"&gt;"&amp;B1102)+1</f>
        <v>200</v>
      </c>
      <c r="F1102" s="16" t="n">
        <f aca="false">IF(A1102=A1101,C1102-C1101,"")</f>
        <v>8.43000000000029</v>
      </c>
      <c r="G1102" s="16" t="n">
        <f aca="false">IF(A1102=A1101,IF(F1102&gt;0,F1102,0),"")</f>
        <v>8.43000000000029</v>
      </c>
      <c r="H1102" s="16" t="n">
        <f aca="false">IF(A1102=A1101,IF(F1102&lt;0,-F1102,0),"")</f>
        <v>0</v>
      </c>
    </row>
    <row r="1103" customFormat="false" ht="15" hidden="false" customHeight="false" outlineLevel="0" collapsed="false">
      <c r="A1103" s="14" t="s">
        <v>102</v>
      </c>
      <c r="B1103" s="15" t="n">
        <v>45959</v>
      </c>
      <c r="C1103" s="14" t="n">
        <v>2123.48</v>
      </c>
      <c r="D1103" s="14" t="n">
        <v>1609825</v>
      </c>
      <c r="E1103" s="16" t="n">
        <f aca="false">COUNTIFS($A$2:$A$1561,A1103,$B$2:$B$1561,"&gt;"&amp;B1103)+1</f>
        <v>199</v>
      </c>
      <c r="F1103" s="16" t="n">
        <f aca="false">IF(A1103=A1102,C1103-C1102,"")</f>
        <v>20.0599999999999</v>
      </c>
      <c r="G1103" s="16" t="n">
        <f aca="false">IF(A1103=A1102,IF(F1103&gt;0,F1103,0),"")</f>
        <v>20.0599999999999</v>
      </c>
      <c r="H1103" s="16" t="n">
        <f aca="false">IF(A1103=A1102,IF(F1103&lt;0,-F1103,0),"")</f>
        <v>0</v>
      </c>
    </row>
    <row r="1104" customFormat="false" ht="15" hidden="false" customHeight="false" outlineLevel="0" collapsed="false">
      <c r="A1104" s="14" t="s">
        <v>102</v>
      </c>
      <c r="B1104" s="15" t="n">
        <v>45960</v>
      </c>
      <c r="C1104" s="14" t="n">
        <v>2124.23</v>
      </c>
      <c r="D1104" s="14" t="n">
        <v>780593</v>
      </c>
      <c r="E1104" s="16" t="n">
        <f aca="false">COUNTIFS($A$2:$A$1561,A1104,$B$2:$B$1561,"&gt;"&amp;B1104)+1</f>
        <v>198</v>
      </c>
      <c r="F1104" s="16" t="n">
        <f aca="false">IF(A1104=A1103,C1104-C1103,"")</f>
        <v>0.75</v>
      </c>
      <c r="G1104" s="16" t="n">
        <f aca="false">IF(A1104=A1103,IF(F1104&gt;0,F1104,0),"")</f>
        <v>0.75</v>
      </c>
      <c r="H1104" s="16" t="n">
        <f aca="false">IF(A1104=A1103,IF(F1104&lt;0,-F1104,0),"")</f>
        <v>0</v>
      </c>
    </row>
    <row r="1105" customFormat="false" ht="15" hidden="false" customHeight="false" outlineLevel="0" collapsed="false">
      <c r="A1105" s="14" t="s">
        <v>102</v>
      </c>
      <c r="B1105" s="15" t="n">
        <v>45961</v>
      </c>
      <c r="C1105" s="14" t="n">
        <v>2118.29</v>
      </c>
      <c r="D1105" s="14" t="n">
        <v>1402001</v>
      </c>
      <c r="E1105" s="16" t="n">
        <f aca="false">COUNTIFS($A$2:$A$1561,A1105,$B$2:$B$1561,"&gt;"&amp;B1105)+1</f>
        <v>197</v>
      </c>
      <c r="F1105" s="16" t="n">
        <f aca="false">IF(A1105=A1104,C1105-C1104,"")</f>
        <v>-5.94000000000006</v>
      </c>
      <c r="G1105" s="16" t="n">
        <f aca="false">IF(A1105=A1104,IF(F1105&gt;0,F1105,0),"")</f>
        <v>0</v>
      </c>
      <c r="H1105" s="16" t="n">
        <f aca="false">IF(A1105=A1104,IF(F1105&lt;0,-F1105,0),"")</f>
        <v>5.94000000000006</v>
      </c>
    </row>
    <row r="1106" customFormat="false" ht="15" hidden="false" customHeight="false" outlineLevel="0" collapsed="false">
      <c r="A1106" s="14" t="s">
        <v>102</v>
      </c>
      <c r="B1106" s="15" t="n">
        <v>45964</v>
      </c>
      <c r="C1106" s="14" t="n">
        <v>2102.41</v>
      </c>
      <c r="D1106" s="14" t="n">
        <v>1218078</v>
      </c>
      <c r="E1106" s="16" t="n">
        <f aca="false">COUNTIFS($A$2:$A$1561,A1106,$B$2:$B$1561,"&gt;"&amp;B1106)+1</f>
        <v>196</v>
      </c>
      <c r="F1106" s="16" t="n">
        <f aca="false">IF(A1106=A1105,C1106-C1105,"")</f>
        <v>-15.8800000000001</v>
      </c>
      <c r="G1106" s="16" t="n">
        <f aca="false">IF(A1106=A1105,IF(F1106&gt;0,F1106,0),"")</f>
        <v>0</v>
      </c>
      <c r="H1106" s="16" t="n">
        <f aca="false">IF(A1106=A1105,IF(F1106&lt;0,-F1106,0),"")</f>
        <v>15.8800000000001</v>
      </c>
    </row>
    <row r="1107" customFormat="false" ht="15" hidden="false" customHeight="false" outlineLevel="0" collapsed="false">
      <c r="A1107" s="14" t="s">
        <v>102</v>
      </c>
      <c r="B1107" s="15" t="n">
        <v>45965</v>
      </c>
      <c r="C1107" s="14" t="n">
        <v>2084.99</v>
      </c>
      <c r="D1107" s="14" t="n">
        <v>773069</v>
      </c>
      <c r="E1107" s="16" t="n">
        <f aca="false">COUNTIFS($A$2:$A$1561,A1107,$B$2:$B$1561,"&gt;"&amp;B1107)+1</f>
        <v>195</v>
      </c>
      <c r="F1107" s="16" t="n">
        <f aca="false">IF(A1107=A1106,C1107-C1106,"")</f>
        <v>-17.4200000000001</v>
      </c>
      <c r="G1107" s="16" t="n">
        <f aca="false">IF(A1107=A1106,IF(F1107&gt;0,F1107,0),"")</f>
        <v>0</v>
      </c>
      <c r="H1107" s="16" t="n">
        <f aca="false">IF(A1107=A1106,IF(F1107&lt;0,-F1107,0),"")</f>
        <v>17.4200000000001</v>
      </c>
    </row>
    <row r="1108" customFormat="false" ht="15" hidden="false" customHeight="false" outlineLevel="0" collapsed="false">
      <c r="A1108" s="14" t="s">
        <v>102</v>
      </c>
      <c r="B1108" s="15" t="n">
        <v>45966</v>
      </c>
      <c r="C1108" s="14" t="n">
        <v>2097.95</v>
      </c>
      <c r="D1108" s="14" t="n">
        <v>2427658</v>
      </c>
      <c r="E1108" s="16" t="n">
        <f aca="false">COUNTIFS($A$2:$A$1561,A1108,$B$2:$B$1561,"&gt;"&amp;B1108)+1</f>
        <v>194</v>
      </c>
      <c r="F1108" s="16" t="n">
        <f aca="false">IF(A1108=A1107,C1108-C1107,"")</f>
        <v>12.96</v>
      </c>
      <c r="G1108" s="16" t="n">
        <f aca="false">IF(A1108=A1107,IF(F1108&gt;0,F1108,0),"")</f>
        <v>12.96</v>
      </c>
      <c r="H1108" s="16" t="n">
        <f aca="false">IF(A1108=A1107,IF(F1108&lt;0,-F1108,0),"")</f>
        <v>0</v>
      </c>
    </row>
    <row r="1109" customFormat="false" ht="15" hidden="false" customHeight="false" outlineLevel="0" collapsed="false">
      <c r="A1109" s="14" t="s">
        <v>102</v>
      </c>
      <c r="B1109" s="15" t="n">
        <v>45967</v>
      </c>
      <c r="C1109" s="14" t="n">
        <v>2099.28</v>
      </c>
      <c r="D1109" s="14" t="n">
        <v>1489939</v>
      </c>
      <c r="E1109" s="16" t="n">
        <f aca="false">COUNTIFS($A$2:$A$1561,A1109,$B$2:$B$1561,"&gt;"&amp;B1109)+1</f>
        <v>193</v>
      </c>
      <c r="F1109" s="16" t="n">
        <f aca="false">IF(A1109=A1108,C1109-C1108,"")</f>
        <v>1.33000000000038</v>
      </c>
      <c r="G1109" s="16" t="n">
        <f aca="false">IF(A1109=A1108,IF(F1109&gt;0,F1109,0),"")</f>
        <v>1.33000000000038</v>
      </c>
      <c r="H1109" s="16" t="n">
        <f aca="false">IF(A1109=A1108,IF(F1109&lt;0,-F1109,0),"")</f>
        <v>0</v>
      </c>
    </row>
    <row r="1110" customFormat="false" ht="15" hidden="false" customHeight="false" outlineLevel="0" collapsed="false">
      <c r="A1110" s="14" t="s">
        <v>102</v>
      </c>
      <c r="B1110" s="15" t="n">
        <v>45968</v>
      </c>
      <c r="C1110" s="14" t="n">
        <v>2107.4</v>
      </c>
      <c r="D1110" s="14" t="n">
        <v>1331260</v>
      </c>
      <c r="E1110" s="16" t="n">
        <f aca="false">COUNTIFS($A$2:$A$1561,A1110,$B$2:$B$1561,"&gt;"&amp;B1110)+1</f>
        <v>192</v>
      </c>
      <c r="F1110" s="16" t="n">
        <f aca="false">IF(A1110=A1109,C1110-C1109,"")</f>
        <v>8.11999999999989</v>
      </c>
      <c r="G1110" s="16" t="n">
        <f aca="false">IF(A1110=A1109,IF(F1110&gt;0,F1110,0),"")</f>
        <v>8.11999999999989</v>
      </c>
      <c r="H1110" s="16" t="n">
        <f aca="false">IF(A1110=A1109,IF(F1110&lt;0,-F1110,0),"")</f>
        <v>0</v>
      </c>
    </row>
    <row r="1111" customFormat="false" ht="15" hidden="false" customHeight="false" outlineLevel="0" collapsed="false">
      <c r="A1111" s="14" t="s">
        <v>102</v>
      </c>
      <c r="B1111" s="15" t="n">
        <v>45971</v>
      </c>
      <c r="C1111" s="14" t="n">
        <v>2121.43</v>
      </c>
      <c r="D1111" s="14" t="n">
        <v>1477399</v>
      </c>
      <c r="E1111" s="16" t="n">
        <f aca="false">COUNTIFS($A$2:$A$1561,A1111,$B$2:$B$1561,"&gt;"&amp;B1111)+1</f>
        <v>191</v>
      </c>
      <c r="F1111" s="16" t="n">
        <f aca="false">IF(A1111=A1110,C1111-C1110,"")</f>
        <v>14.0299999999997</v>
      </c>
      <c r="G1111" s="16" t="n">
        <f aca="false">IF(A1111=A1110,IF(F1111&gt;0,F1111,0),"")</f>
        <v>14.0299999999997</v>
      </c>
      <c r="H1111" s="16" t="n">
        <f aca="false">IF(A1111=A1110,IF(F1111&lt;0,-F1111,0),"")</f>
        <v>0</v>
      </c>
    </row>
    <row r="1112" customFormat="false" ht="15" hidden="false" customHeight="false" outlineLevel="0" collapsed="false">
      <c r="A1112" s="14" t="s">
        <v>102</v>
      </c>
      <c r="B1112" s="15" t="n">
        <v>45972</v>
      </c>
      <c r="C1112" s="14" t="n">
        <v>2106.64</v>
      </c>
      <c r="D1112" s="14" t="n">
        <v>561721</v>
      </c>
      <c r="E1112" s="16" t="n">
        <f aca="false">COUNTIFS($A$2:$A$1561,A1112,$B$2:$B$1561,"&gt;"&amp;B1112)+1</f>
        <v>190</v>
      </c>
      <c r="F1112" s="16" t="n">
        <f aca="false">IF(A1112=A1111,C1112-C1111,"")</f>
        <v>-14.79</v>
      </c>
      <c r="G1112" s="16" t="n">
        <f aca="false">IF(A1112=A1111,IF(F1112&gt;0,F1112,0),"")</f>
        <v>0</v>
      </c>
      <c r="H1112" s="16" t="n">
        <f aca="false">IF(A1112=A1111,IF(F1112&lt;0,-F1112,0),"")</f>
        <v>14.79</v>
      </c>
    </row>
    <row r="1113" customFormat="false" ht="15" hidden="false" customHeight="false" outlineLevel="0" collapsed="false">
      <c r="A1113" s="14" t="s">
        <v>102</v>
      </c>
      <c r="B1113" s="15" t="n">
        <v>45973</v>
      </c>
      <c r="C1113" s="14" t="n">
        <v>2117.67</v>
      </c>
      <c r="D1113" s="14" t="n">
        <v>1084179</v>
      </c>
      <c r="E1113" s="16" t="n">
        <f aca="false">COUNTIFS($A$2:$A$1561,A1113,$B$2:$B$1561,"&gt;"&amp;B1113)+1</f>
        <v>189</v>
      </c>
      <c r="F1113" s="16" t="n">
        <f aca="false">IF(A1113=A1112,C1113-C1112,"")</f>
        <v>11.0300000000002</v>
      </c>
      <c r="G1113" s="16" t="n">
        <f aca="false">IF(A1113=A1112,IF(F1113&gt;0,F1113,0),"")</f>
        <v>11.0300000000002</v>
      </c>
      <c r="H1113" s="16" t="n">
        <f aca="false">IF(A1113=A1112,IF(F1113&lt;0,-F1113,0),"")</f>
        <v>0</v>
      </c>
    </row>
    <row r="1114" customFormat="false" ht="15" hidden="false" customHeight="false" outlineLevel="0" collapsed="false">
      <c r="A1114" s="14" t="s">
        <v>102</v>
      </c>
      <c r="B1114" s="15" t="n">
        <v>45974</v>
      </c>
      <c r="C1114" s="14" t="n">
        <v>2110.24</v>
      </c>
      <c r="D1114" s="14" t="n">
        <v>1575217</v>
      </c>
      <c r="E1114" s="16" t="n">
        <f aca="false">COUNTIFS($A$2:$A$1561,A1114,$B$2:$B$1561,"&gt;"&amp;B1114)+1</f>
        <v>188</v>
      </c>
      <c r="F1114" s="16" t="n">
        <f aca="false">IF(A1114=A1113,C1114-C1113,"")</f>
        <v>-7.43000000000029</v>
      </c>
      <c r="G1114" s="16" t="n">
        <f aca="false">IF(A1114=A1113,IF(F1114&gt;0,F1114,0),"")</f>
        <v>0</v>
      </c>
      <c r="H1114" s="16" t="n">
        <f aca="false">IF(A1114=A1113,IF(F1114&lt;0,-F1114,0),"")</f>
        <v>7.43000000000029</v>
      </c>
    </row>
    <row r="1115" customFormat="false" ht="15" hidden="false" customHeight="false" outlineLevel="0" collapsed="false">
      <c r="A1115" s="14" t="s">
        <v>102</v>
      </c>
      <c r="B1115" s="15" t="n">
        <v>45975</v>
      </c>
      <c r="C1115" s="14" t="n">
        <v>2098.77</v>
      </c>
      <c r="D1115" s="14" t="n">
        <v>1414642</v>
      </c>
      <c r="E1115" s="16" t="n">
        <f aca="false">COUNTIFS($A$2:$A$1561,A1115,$B$2:$B$1561,"&gt;"&amp;B1115)+1</f>
        <v>187</v>
      </c>
      <c r="F1115" s="16" t="n">
        <f aca="false">IF(A1115=A1114,C1115-C1114,"")</f>
        <v>-11.4699999999998</v>
      </c>
      <c r="G1115" s="16" t="n">
        <f aca="false">IF(A1115=A1114,IF(F1115&gt;0,F1115,0),"")</f>
        <v>0</v>
      </c>
      <c r="H1115" s="16" t="n">
        <f aca="false">IF(A1115=A1114,IF(F1115&lt;0,-F1115,0),"")</f>
        <v>11.4699999999998</v>
      </c>
    </row>
    <row r="1116" customFormat="false" ht="15" hidden="false" customHeight="false" outlineLevel="0" collapsed="false">
      <c r="A1116" s="14" t="s">
        <v>102</v>
      </c>
      <c r="B1116" s="15" t="n">
        <v>45978</v>
      </c>
      <c r="C1116" s="14" t="n">
        <v>2109.07</v>
      </c>
      <c r="D1116" s="14" t="n">
        <v>2031839</v>
      </c>
      <c r="E1116" s="16" t="n">
        <f aca="false">COUNTIFS($A$2:$A$1561,A1116,$B$2:$B$1561,"&gt;"&amp;B1116)+1</f>
        <v>186</v>
      </c>
      <c r="F1116" s="16" t="n">
        <f aca="false">IF(A1116=A1115,C1116-C1115,"")</f>
        <v>10.3000000000002</v>
      </c>
      <c r="G1116" s="16" t="n">
        <f aca="false">IF(A1116=A1115,IF(F1116&gt;0,F1116,0),"")</f>
        <v>10.3000000000002</v>
      </c>
      <c r="H1116" s="16" t="n">
        <f aca="false">IF(A1116=A1115,IF(F1116&lt;0,-F1116,0),"")</f>
        <v>0</v>
      </c>
    </row>
    <row r="1117" customFormat="false" ht="15" hidden="false" customHeight="false" outlineLevel="0" collapsed="false">
      <c r="A1117" s="14" t="s">
        <v>102</v>
      </c>
      <c r="B1117" s="15" t="n">
        <v>45979</v>
      </c>
      <c r="C1117" s="14" t="n">
        <v>2112.09</v>
      </c>
      <c r="D1117" s="14" t="n">
        <v>726421</v>
      </c>
      <c r="E1117" s="16" t="n">
        <f aca="false">COUNTIFS($A$2:$A$1561,A1117,$B$2:$B$1561,"&gt;"&amp;B1117)+1</f>
        <v>185</v>
      </c>
      <c r="F1117" s="16" t="n">
        <f aca="false">IF(A1117=A1116,C1117-C1116,"")</f>
        <v>3.01999999999998</v>
      </c>
      <c r="G1117" s="16" t="n">
        <f aca="false">IF(A1117=A1116,IF(F1117&gt;0,F1117,0),"")</f>
        <v>3.01999999999998</v>
      </c>
      <c r="H1117" s="16" t="n">
        <f aca="false">IF(A1117=A1116,IF(F1117&lt;0,-F1117,0),"")</f>
        <v>0</v>
      </c>
    </row>
    <row r="1118" customFormat="false" ht="15" hidden="false" customHeight="false" outlineLevel="0" collapsed="false">
      <c r="A1118" s="14" t="s">
        <v>102</v>
      </c>
      <c r="B1118" s="15" t="n">
        <v>45980</v>
      </c>
      <c r="C1118" s="14" t="n">
        <v>2098.57</v>
      </c>
      <c r="D1118" s="14" t="n">
        <v>2050226</v>
      </c>
      <c r="E1118" s="16" t="n">
        <f aca="false">COUNTIFS($A$2:$A$1561,A1118,$B$2:$B$1561,"&gt;"&amp;B1118)+1</f>
        <v>184</v>
      </c>
      <c r="F1118" s="16" t="n">
        <f aca="false">IF(A1118=A1117,C1118-C1117,"")</f>
        <v>-13.52</v>
      </c>
      <c r="G1118" s="16" t="n">
        <f aca="false">IF(A1118=A1117,IF(F1118&gt;0,F1118,0),"")</f>
        <v>0</v>
      </c>
      <c r="H1118" s="16" t="n">
        <f aca="false">IF(A1118=A1117,IF(F1118&lt;0,-F1118,0),"")</f>
        <v>13.52</v>
      </c>
    </row>
    <row r="1119" customFormat="false" ht="15" hidden="false" customHeight="false" outlineLevel="0" collapsed="false">
      <c r="A1119" s="14" t="s">
        <v>102</v>
      </c>
      <c r="B1119" s="15" t="n">
        <v>45981</v>
      </c>
      <c r="C1119" s="14" t="n">
        <v>2111.91</v>
      </c>
      <c r="D1119" s="14" t="n">
        <v>1233723</v>
      </c>
      <c r="E1119" s="16" t="n">
        <f aca="false">COUNTIFS($A$2:$A$1561,A1119,$B$2:$B$1561,"&gt;"&amp;B1119)+1</f>
        <v>183</v>
      </c>
      <c r="F1119" s="16" t="n">
        <f aca="false">IF(A1119=A1118,C1119-C1118,"")</f>
        <v>13.3399999999997</v>
      </c>
      <c r="G1119" s="16" t="n">
        <f aca="false">IF(A1119=A1118,IF(F1119&gt;0,F1119,0),"")</f>
        <v>13.3399999999997</v>
      </c>
      <c r="H1119" s="16" t="n">
        <f aca="false">IF(A1119=A1118,IF(F1119&lt;0,-F1119,0),"")</f>
        <v>0</v>
      </c>
    </row>
    <row r="1120" customFormat="false" ht="15" hidden="false" customHeight="false" outlineLevel="0" collapsed="false">
      <c r="A1120" s="14" t="s">
        <v>102</v>
      </c>
      <c r="B1120" s="15" t="n">
        <v>45982</v>
      </c>
      <c r="C1120" s="14" t="n">
        <v>2125.32</v>
      </c>
      <c r="D1120" s="14" t="n">
        <v>583221</v>
      </c>
      <c r="E1120" s="16" t="n">
        <f aca="false">COUNTIFS($A$2:$A$1561,A1120,$B$2:$B$1561,"&gt;"&amp;B1120)+1</f>
        <v>182</v>
      </c>
      <c r="F1120" s="16" t="n">
        <f aca="false">IF(A1120=A1119,C1120-C1119,"")</f>
        <v>13.4100000000003</v>
      </c>
      <c r="G1120" s="16" t="n">
        <f aca="false">IF(A1120=A1119,IF(F1120&gt;0,F1120,0),"")</f>
        <v>13.4100000000003</v>
      </c>
      <c r="H1120" s="16" t="n">
        <f aca="false">IF(A1120=A1119,IF(F1120&lt;0,-F1120,0),"")</f>
        <v>0</v>
      </c>
    </row>
    <row r="1121" customFormat="false" ht="15" hidden="false" customHeight="false" outlineLevel="0" collapsed="false">
      <c r="A1121" s="14" t="s">
        <v>102</v>
      </c>
      <c r="B1121" s="15" t="n">
        <v>45985</v>
      </c>
      <c r="C1121" s="14" t="n">
        <v>2134.84</v>
      </c>
      <c r="D1121" s="14" t="n">
        <v>1592706</v>
      </c>
      <c r="E1121" s="16" t="n">
        <f aca="false">COUNTIFS($A$2:$A$1561,A1121,$B$2:$B$1561,"&gt;"&amp;B1121)+1</f>
        <v>181</v>
      </c>
      <c r="F1121" s="16" t="n">
        <f aca="false">IF(A1121=A1120,C1121-C1120,"")</f>
        <v>9.51999999999998</v>
      </c>
      <c r="G1121" s="16" t="n">
        <f aca="false">IF(A1121=A1120,IF(F1121&gt;0,F1121,0),"")</f>
        <v>9.51999999999998</v>
      </c>
      <c r="H1121" s="16" t="n">
        <f aca="false">IF(A1121=A1120,IF(F1121&lt;0,-F1121,0),"")</f>
        <v>0</v>
      </c>
    </row>
    <row r="1122" customFormat="false" ht="15" hidden="false" customHeight="false" outlineLevel="0" collapsed="false">
      <c r="A1122" s="14" t="s">
        <v>102</v>
      </c>
      <c r="B1122" s="15" t="n">
        <v>45986</v>
      </c>
      <c r="C1122" s="14" t="n">
        <v>2154.81</v>
      </c>
      <c r="D1122" s="14" t="n">
        <v>704832</v>
      </c>
      <c r="E1122" s="16" t="n">
        <f aca="false">COUNTIFS($A$2:$A$1561,A1122,$B$2:$B$1561,"&gt;"&amp;B1122)+1</f>
        <v>180</v>
      </c>
      <c r="F1122" s="16" t="n">
        <f aca="false">IF(A1122=A1121,C1122-C1121,"")</f>
        <v>19.9699999999998</v>
      </c>
      <c r="G1122" s="16" t="n">
        <f aca="false">IF(A1122=A1121,IF(F1122&gt;0,F1122,0),"")</f>
        <v>19.9699999999998</v>
      </c>
      <c r="H1122" s="16" t="n">
        <f aca="false">IF(A1122=A1121,IF(F1122&lt;0,-F1122,0),"")</f>
        <v>0</v>
      </c>
    </row>
    <row r="1123" customFormat="false" ht="15" hidden="false" customHeight="false" outlineLevel="0" collapsed="false">
      <c r="A1123" s="14" t="s">
        <v>102</v>
      </c>
      <c r="B1123" s="15" t="n">
        <v>45987</v>
      </c>
      <c r="C1123" s="14" t="n">
        <v>2168.78</v>
      </c>
      <c r="D1123" s="14" t="n">
        <v>2002690</v>
      </c>
      <c r="E1123" s="16" t="n">
        <f aca="false">COUNTIFS($A$2:$A$1561,A1123,$B$2:$B$1561,"&gt;"&amp;B1123)+1</f>
        <v>179</v>
      </c>
      <c r="F1123" s="16" t="n">
        <f aca="false">IF(A1123=A1122,C1123-C1122,"")</f>
        <v>13.9700000000003</v>
      </c>
      <c r="G1123" s="16" t="n">
        <f aca="false">IF(A1123=A1122,IF(F1123&gt;0,F1123,0),"")</f>
        <v>13.9700000000003</v>
      </c>
      <c r="H1123" s="16" t="n">
        <f aca="false">IF(A1123=A1122,IF(F1123&lt;0,-F1123,0),"")</f>
        <v>0</v>
      </c>
    </row>
    <row r="1124" customFormat="false" ht="15" hidden="false" customHeight="false" outlineLevel="0" collapsed="false">
      <c r="A1124" s="14" t="s">
        <v>102</v>
      </c>
      <c r="B1124" s="15" t="n">
        <v>45988</v>
      </c>
      <c r="C1124" s="14" t="n">
        <v>2162.06</v>
      </c>
      <c r="D1124" s="14" t="n">
        <v>2498625</v>
      </c>
      <c r="E1124" s="16" t="n">
        <f aca="false">COUNTIFS($A$2:$A$1561,A1124,$B$2:$B$1561,"&gt;"&amp;B1124)+1</f>
        <v>178</v>
      </c>
      <c r="F1124" s="16" t="n">
        <f aca="false">IF(A1124=A1123,C1124-C1123,"")</f>
        <v>-6.72000000000026</v>
      </c>
      <c r="G1124" s="16" t="n">
        <f aca="false">IF(A1124=A1123,IF(F1124&gt;0,F1124,0),"")</f>
        <v>0</v>
      </c>
      <c r="H1124" s="16" t="n">
        <f aca="false">IF(A1124=A1123,IF(F1124&lt;0,-F1124,0),"")</f>
        <v>6.72000000000026</v>
      </c>
    </row>
    <row r="1125" customFormat="false" ht="15" hidden="false" customHeight="false" outlineLevel="0" collapsed="false">
      <c r="A1125" s="14" t="s">
        <v>102</v>
      </c>
      <c r="B1125" s="15" t="n">
        <v>45989</v>
      </c>
      <c r="C1125" s="14" t="n">
        <v>2161.27</v>
      </c>
      <c r="D1125" s="14" t="n">
        <v>1197153</v>
      </c>
      <c r="E1125" s="16" t="n">
        <f aca="false">COUNTIFS($A$2:$A$1561,A1125,$B$2:$B$1561,"&gt;"&amp;B1125)+1</f>
        <v>177</v>
      </c>
      <c r="F1125" s="16" t="n">
        <f aca="false">IF(A1125=A1124,C1125-C1124,"")</f>
        <v>-0.789999999999964</v>
      </c>
      <c r="G1125" s="16" t="n">
        <f aca="false">IF(A1125=A1124,IF(F1125&gt;0,F1125,0),"")</f>
        <v>0</v>
      </c>
      <c r="H1125" s="16" t="n">
        <f aca="false">IF(A1125=A1124,IF(F1125&lt;0,-F1125,0),"")</f>
        <v>0.789999999999964</v>
      </c>
    </row>
    <row r="1126" customFormat="false" ht="15" hidden="false" customHeight="false" outlineLevel="0" collapsed="false">
      <c r="A1126" s="14" t="s">
        <v>102</v>
      </c>
      <c r="B1126" s="15" t="n">
        <v>45992</v>
      </c>
      <c r="C1126" s="14" t="n">
        <v>2174.75</v>
      </c>
      <c r="D1126" s="14" t="n">
        <v>1378139</v>
      </c>
      <c r="E1126" s="16" t="n">
        <f aca="false">COUNTIFS($A$2:$A$1561,A1126,$B$2:$B$1561,"&gt;"&amp;B1126)+1</f>
        <v>176</v>
      </c>
      <c r="F1126" s="16" t="n">
        <f aca="false">IF(A1126=A1125,C1126-C1125,"")</f>
        <v>13.48</v>
      </c>
      <c r="G1126" s="16" t="n">
        <f aca="false">IF(A1126=A1125,IF(F1126&gt;0,F1126,0),"")</f>
        <v>13.48</v>
      </c>
      <c r="H1126" s="16" t="n">
        <f aca="false">IF(A1126=A1125,IF(F1126&lt;0,-F1126,0),"")</f>
        <v>0</v>
      </c>
    </row>
    <row r="1127" customFormat="false" ht="15" hidden="false" customHeight="false" outlineLevel="0" collapsed="false">
      <c r="A1127" s="14" t="s">
        <v>102</v>
      </c>
      <c r="B1127" s="15" t="n">
        <v>45993</v>
      </c>
      <c r="C1127" s="14" t="n">
        <v>2195.27</v>
      </c>
      <c r="D1127" s="14" t="n">
        <v>2051263</v>
      </c>
      <c r="E1127" s="16" t="n">
        <f aca="false">COUNTIFS($A$2:$A$1561,A1127,$B$2:$B$1561,"&gt;"&amp;B1127)+1</f>
        <v>175</v>
      </c>
      <c r="F1127" s="16" t="n">
        <f aca="false">IF(A1127=A1126,C1127-C1126,"")</f>
        <v>20.52</v>
      </c>
      <c r="G1127" s="16" t="n">
        <f aca="false">IF(A1127=A1126,IF(F1127&gt;0,F1127,0),"")</f>
        <v>20.52</v>
      </c>
      <c r="H1127" s="16" t="n">
        <f aca="false">IF(A1127=A1126,IF(F1127&lt;0,-F1127,0),"")</f>
        <v>0</v>
      </c>
    </row>
    <row r="1128" customFormat="false" ht="15" hidden="false" customHeight="false" outlineLevel="0" collapsed="false">
      <c r="A1128" s="14" t="s">
        <v>102</v>
      </c>
      <c r="B1128" s="15" t="n">
        <v>45994</v>
      </c>
      <c r="C1128" s="14" t="n">
        <v>2186.06</v>
      </c>
      <c r="D1128" s="14" t="n">
        <v>2121405</v>
      </c>
      <c r="E1128" s="16" t="n">
        <f aca="false">COUNTIFS($A$2:$A$1561,A1128,$B$2:$B$1561,"&gt;"&amp;B1128)+1</f>
        <v>174</v>
      </c>
      <c r="F1128" s="16" t="n">
        <f aca="false">IF(A1128=A1127,C1128-C1127,"")</f>
        <v>-9.21000000000004</v>
      </c>
      <c r="G1128" s="16" t="n">
        <f aca="false">IF(A1128=A1127,IF(F1128&gt;0,F1128,0),"")</f>
        <v>0</v>
      </c>
      <c r="H1128" s="16" t="n">
        <f aca="false">IF(A1128=A1127,IF(F1128&lt;0,-F1128,0),"")</f>
        <v>9.21000000000004</v>
      </c>
    </row>
    <row r="1129" customFormat="false" ht="15" hidden="false" customHeight="false" outlineLevel="0" collapsed="false">
      <c r="A1129" s="14" t="s">
        <v>102</v>
      </c>
      <c r="B1129" s="15" t="n">
        <v>45995</v>
      </c>
      <c r="C1129" s="14" t="n">
        <v>2190.7</v>
      </c>
      <c r="D1129" s="14" t="n">
        <v>1201261</v>
      </c>
      <c r="E1129" s="16" t="n">
        <f aca="false">COUNTIFS($A$2:$A$1561,A1129,$B$2:$B$1561,"&gt;"&amp;B1129)+1</f>
        <v>173</v>
      </c>
      <c r="F1129" s="16" t="n">
        <f aca="false">IF(A1129=A1128,C1129-C1128,"")</f>
        <v>4.63999999999987</v>
      </c>
      <c r="G1129" s="16" t="n">
        <f aca="false">IF(A1129=A1128,IF(F1129&gt;0,F1129,0),"")</f>
        <v>4.63999999999987</v>
      </c>
      <c r="H1129" s="16" t="n">
        <f aca="false">IF(A1129=A1128,IF(F1129&lt;0,-F1129,0),"")</f>
        <v>0</v>
      </c>
    </row>
    <row r="1130" customFormat="false" ht="15" hidden="false" customHeight="false" outlineLevel="0" collapsed="false">
      <c r="A1130" s="14" t="s">
        <v>102</v>
      </c>
      <c r="B1130" s="15" t="n">
        <v>45996</v>
      </c>
      <c r="C1130" s="14" t="n">
        <v>2200.19</v>
      </c>
      <c r="D1130" s="14" t="n">
        <v>1765541</v>
      </c>
      <c r="E1130" s="16" t="n">
        <f aca="false">COUNTIFS($A$2:$A$1561,A1130,$B$2:$B$1561,"&gt;"&amp;B1130)+1</f>
        <v>172</v>
      </c>
      <c r="F1130" s="16" t="n">
        <f aca="false">IF(A1130=A1129,C1130-C1129,"")</f>
        <v>9.49000000000024</v>
      </c>
      <c r="G1130" s="16" t="n">
        <f aca="false">IF(A1130=A1129,IF(F1130&gt;0,F1130,0),"")</f>
        <v>9.49000000000024</v>
      </c>
      <c r="H1130" s="16" t="n">
        <f aca="false">IF(A1130=A1129,IF(F1130&lt;0,-F1130,0),"")</f>
        <v>0</v>
      </c>
    </row>
    <row r="1131" customFormat="false" ht="15" hidden="false" customHeight="false" outlineLevel="0" collapsed="false">
      <c r="A1131" s="14" t="s">
        <v>102</v>
      </c>
      <c r="B1131" s="15" t="n">
        <v>45999</v>
      </c>
      <c r="C1131" s="14" t="n">
        <v>2188.15</v>
      </c>
      <c r="D1131" s="14" t="n">
        <v>778469</v>
      </c>
      <c r="E1131" s="16" t="n">
        <f aca="false">COUNTIFS($A$2:$A$1561,A1131,$B$2:$B$1561,"&gt;"&amp;B1131)+1</f>
        <v>171</v>
      </c>
      <c r="F1131" s="16" t="n">
        <f aca="false">IF(A1131=A1130,C1131-C1130,"")</f>
        <v>-12.04</v>
      </c>
      <c r="G1131" s="16" t="n">
        <f aca="false">IF(A1131=A1130,IF(F1131&gt;0,F1131,0),"")</f>
        <v>0</v>
      </c>
      <c r="H1131" s="16" t="n">
        <f aca="false">IF(A1131=A1130,IF(F1131&lt;0,-F1131,0),"")</f>
        <v>12.04</v>
      </c>
    </row>
    <row r="1132" customFormat="false" ht="15" hidden="false" customHeight="false" outlineLevel="0" collapsed="false">
      <c r="A1132" s="14" t="s">
        <v>102</v>
      </c>
      <c r="B1132" s="15" t="n">
        <v>46000</v>
      </c>
      <c r="C1132" s="14" t="n">
        <v>2177.78</v>
      </c>
      <c r="D1132" s="14" t="n">
        <v>913885</v>
      </c>
      <c r="E1132" s="16" t="n">
        <f aca="false">COUNTIFS($A$2:$A$1561,A1132,$B$2:$B$1561,"&gt;"&amp;B1132)+1</f>
        <v>170</v>
      </c>
      <c r="F1132" s="16" t="n">
        <f aca="false">IF(A1132=A1131,C1132-C1131,"")</f>
        <v>-10.3699999999999</v>
      </c>
      <c r="G1132" s="16" t="n">
        <f aca="false">IF(A1132=A1131,IF(F1132&gt;0,F1132,0),"")</f>
        <v>0</v>
      </c>
      <c r="H1132" s="16" t="n">
        <f aca="false">IF(A1132=A1131,IF(F1132&lt;0,-F1132,0),"")</f>
        <v>10.3699999999999</v>
      </c>
    </row>
    <row r="1133" customFormat="false" ht="15" hidden="false" customHeight="false" outlineLevel="0" collapsed="false">
      <c r="A1133" s="14" t="s">
        <v>102</v>
      </c>
      <c r="B1133" s="15" t="n">
        <v>46001</v>
      </c>
      <c r="C1133" s="14" t="n">
        <v>2161.68</v>
      </c>
      <c r="D1133" s="14" t="n">
        <v>1201630</v>
      </c>
      <c r="E1133" s="16" t="n">
        <f aca="false">COUNTIFS($A$2:$A$1561,A1133,$B$2:$B$1561,"&gt;"&amp;B1133)+1</f>
        <v>169</v>
      </c>
      <c r="F1133" s="16" t="n">
        <f aca="false">IF(A1133=A1132,C1133-C1132,"")</f>
        <v>-16.1000000000004</v>
      </c>
      <c r="G1133" s="16" t="n">
        <f aca="false">IF(A1133=A1132,IF(F1133&gt;0,F1133,0),"")</f>
        <v>0</v>
      </c>
      <c r="H1133" s="16" t="n">
        <f aca="false">IF(A1133=A1132,IF(F1133&lt;0,-F1133,0),"")</f>
        <v>16.1000000000004</v>
      </c>
    </row>
    <row r="1134" customFormat="false" ht="15" hidden="false" customHeight="false" outlineLevel="0" collapsed="false">
      <c r="A1134" s="14" t="s">
        <v>102</v>
      </c>
      <c r="B1134" s="15" t="n">
        <v>46002</v>
      </c>
      <c r="C1134" s="14" t="n">
        <v>2154.33</v>
      </c>
      <c r="D1134" s="14" t="n">
        <v>1577537</v>
      </c>
      <c r="E1134" s="16" t="n">
        <f aca="false">COUNTIFS($A$2:$A$1561,A1134,$B$2:$B$1561,"&gt;"&amp;B1134)+1</f>
        <v>168</v>
      </c>
      <c r="F1134" s="16" t="n">
        <f aca="false">IF(A1134=A1133,C1134-C1133,"")</f>
        <v>-7.34999999999991</v>
      </c>
      <c r="G1134" s="16" t="n">
        <f aca="false">IF(A1134=A1133,IF(F1134&gt;0,F1134,0),"")</f>
        <v>0</v>
      </c>
      <c r="H1134" s="16" t="n">
        <f aca="false">IF(A1134=A1133,IF(F1134&lt;0,-F1134,0),"")</f>
        <v>7.34999999999991</v>
      </c>
    </row>
    <row r="1135" customFormat="false" ht="15" hidden="false" customHeight="false" outlineLevel="0" collapsed="false">
      <c r="A1135" s="14" t="s">
        <v>102</v>
      </c>
      <c r="B1135" s="15" t="n">
        <v>46003</v>
      </c>
      <c r="C1135" s="14" t="n">
        <v>2148.65</v>
      </c>
      <c r="D1135" s="14" t="n">
        <v>1908107</v>
      </c>
      <c r="E1135" s="16" t="n">
        <f aca="false">COUNTIFS($A$2:$A$1561,A1135,$B$2:$B$1561,"&gt;"&amp;B1135)+1</f>
        <v>167</v>
      </c>
      <c r="F1135" s="16" t="n">
        <f aca="false">IF(A1135=A1134,C1135-C1134,"")</f>
        <v>-5.67999999999984</v>
      </c>
      <c r="G1135" s="16" t="n">
        <f aca="false">IF(A1135=A1134,IF(F1135&gt;0,F1135,0),"")</f>
        <v>0</v>
      </c>
      <c r="H1135" s="16" t="n">
        <f aca="false">IF(A1135=A1134,IF(F1135&lt;0,-F1135,0),"")</f>
        <v>5.67999999999984</v>
      </c>
    </row>
    <row r="1136" customFormat="false" ht="15" hidden="false" customHeight="false" outlineLevel="0" collapsed="false">
      <c r="A1136" s="14" t="s">
        <v>102</v>
      </c>
      <c r="B1136" s="15" t="n">
        <v>46006</v>
      </c>
      <c r="C1136" s="14" t="n">
        <v>2141.67</v>
      </c>
      <c r="D1136" s="14" t="n">
        <v>1034686</v>
      </c>
      <c r="E1136" s="16" t="n">
        <f aca="false">COUNTIFS($A$2:$A$1561,A1136,$B$2:$B$1561,"&gt;"&amp;B1136)+1</f>
        <v>166</v>
      </c>
      <c r="F1136" s="16" t="n">
        <f aca="false">IF(A1136=A1135,C1136-C1135,"")</f>
        <v>-6.98000000000002</v>
      </c>
      <c r="G1136" s="16" t="n">
        <f aca="false">IF(A1136=A1135,IF(F1136&gt;0,F1136,0),"")</f>
        <v>0</v>
      </c>
      <c r="H1136" s="16" t="n">
        <f aca="false">IF(A1136=A1135,IF(F1136&lt;0,-F1136,0),"")</f>
        <v>6.98000000000002</v>
      </c>
    </row>
    <row r="1137" customFormat="false" ht="15" hidden="false" customHeight="false" outlineLevel="0" collapsed="false">
      <c r="A1137" s="14" t="s">
        <v>102</v>
      </c>
      <c r="B1137" s="15" t="n">
        <v>46007</v>
      </c>
      <c r="C1137" s="14" t="n">
        <v>2156.62</v>
      </c>
      <c r="D1137" s="14" t="n">
        <v>2470976</v>
      </c>
      <c r="E1137" s="16" t="n">
        <f aca="false">COUNTIFS($A$2:$A$1561,A1137,$B$2:$B$1561,"&gt;"&amp;B1137)+1</f>
        <v>165</v>
      </c>
      <c r="F1137" s="16" t="n">
        <f aca="false">IF(A1137=A1136,C1137-C1136,"")</f>
        <v>14.9499999999998</v>
      </c>
      <c r="G1137" s="16" t="n">
        <f aca="false">IF(A1137=A1136,IF(F1137&gt;0,F1137,0),"")</f>
        <v>14.9499999999998</v>
      </c>
      <c r="H1137" s="16" t="n">
        <f aca="false">IF(A1137=A1136,IF(F1137&lt;0,-F1137,0),"")</f>
        <v>0</v>
      </c>
    </row>
    <row r="1138" customFormat="false" ht="15" hidden="false" customHeight="false" outlineLevel="0" collapsed="false">
      <c r="A1138" s="14" t="s">
        <v>102</v>
      </c>
      <c r="B1138" s="15" t="n">
        <v>46008</v>
      </c>
      <c r="C1138" s="14" t="n">
        <v>2164.75</v>
      </c>
      <c r="D1138" s="14" t="n">
        <v>690450</v>
      </c>
      <c r="E1138" s="16" t="n">
        <f aca="false">COUNTIFS($A$2:$A$1561,A1138,$B$2:$B$1561,"&gt;"&amp;B1138)+1</f>
        <v>164</v>
      </c>
      <c r="F1138" s="16" t="n">
        <f aca="false">IF(A1138=A1137,C1138-C1137,"")</f>
        <v>8.13000000000011</v>
      </c>
      <c r="G1138" s="16" t="n">
        <f aca="false">IF(A1138=A1137,IF(F1138&gt;0,F1138,0),"")</f>
        <v>8.13000000000011</v>
      </c>
      <c r="H1138" s="16" t="n">
        <f aca="false">IF(A1138=A1137,IF(F1138&lt;0,-F1138,0),"")</f>
        <v>0</v>
      </c>
    </row>
    <row r="1139" customFormat="false" ht="15" hidden="false" customHeight="false" outlineLevel="0" collapsed="false">
      <c r="A1139" s="14" t="s">
        <v>102</v>
      </c>
      <c r="B1139" s="15" t="n">
        <v>46009</v>
      </c>
      <c r="C1139" s="14" t="n">
        <v>2183.95</v>
      </c>
      <c r="D1139" s="14" t="n">
        <v>2071382</v>
      </c>
      <c r="E1139" s="16" t="n">
        <f aca="false">COUNTIFS($A$2:$A$1561,A1139,$B$2:$B$1561,"&gt;"&amp;B1139)+1</f>
        <v>163</v>
      </c>
      <c r="F1139" s="16" t="n">
        <f aca="false">IF(A1139=A1138,C1139-C1138,"")</f>
        <v>19.1999999999998</v>
      </c>
      <c r="G1139" s="16" t="n">
        <f aca="false">IF(A1139=A1138,IF(F1139&gt;0,F1139,0),"")</f>
        <v>19.1999999999998</v>
      </c>
      <c r="H1139" s="16" t="n">
        <f aca="false">IF(A1139=A1138,IF(F1139&lt;0,-F1139,0),"")</f>
        <v>0</v>
      </c>
    </row>
    <row r="1140" customFormat="false" ht="15" hidden="false" customHeight="false" outlineLevel="0" collapsed="false">
      <c r="A1140" s="14" t="s">
        <v>102</v>
      </c>
      <c r="B1140" s="15" t="n">
        <v>46010</v>
      </c>
      <c r="C1140" s="14" t="n">
        <v>2201.59</v>
      </c>
      <c r="D1140" s="14" t="n">
        <v>2484972</v>
      </c>
      <c r="E1140" s="16" t="n">
        <f aca="false">COUNTIFS($A$2:$A$1561,A1140,$B$2:$B$1561,"&gt;"&amp;B1140)+1</f>
        <v>162</v>
      </c>
      <c r="F1140" s="16" t="n">
        <f aca="false">IF(A1140=A1139,C1140-C1139,"")</f>
        <v>17.6400000000003</v>
      </c>
      <c r="G1140" s="16" t="n">
        <f aca="false">IF(A1140=A1139,IF(F1140&gt;0,F1140,0),"")</f>
        <v>17.6400000000003</v>
      </c>
      <c r="H1140" s="16" t="n">
        <f aca="false">IF(A1140=A1139,IF(F1140&lt;0,-F1140,0),"")</f>
        <v>0</v>
      </c>
    </row>
    <row r="1141" customFormat="false" ht="15" hidden="false" customHeight="false" outlineLevel="0" collapsed="false">
      <c r="A1141" s="14" t="s">
        <v>102</v>
      </c>
      <c r="B1141" s="15" t="n">
        <v>46013</v>
      </c>
      <c r="C1141" s="14" t="n">
        <v>2217.33</v>
      </c>
      <c r="D1141" s="14" t="n">
        <v>753776</v>
      </c>
      <c r="E1141" s="16" t="n">
        <f aca="false">COUNTIFS($A$2:$A$1561,A1141,$B$2:$B$1561,"&gt;"&amp;B1141)+1</f>
        <v>161</v>
      </c>
      <c r="F1141" s="16" t="n">
        <f aca="false">IF(A1141=A1140,C1141-C1140,"")</f>
        <v>15.7399999999998</v>
      </c>
      <c r="G1141" s="16" t="n">
        <f aca="false">IF(A1141=A1140,IF(F1141&gt;0,F1141,0),"")</f>
        <v>15.7399999999998</v>
      </c>
      <c r="H1141" s="16" t="n">
        <f aca="false">IF(A1141=A1140,IF(F1141&lt;0,-F1141,0),"")</f>
        <v>0</v>
      </c>
    </row>
    <row r="1142" customFormat="false" ht="15" hidden="false" customHeight="false" outlineLevel="0" collapsed="false">
      <c r="A1142" s="14" t="s">
        <v>102</v>
      </c>
      <c r="B1142" s="15" t="n">
        <v>46014</v>
      </c>
      <c r="C1142" s="14" t="n">
        <v>2233.13</v>
      </c>
      <c r="D1142" s="14" t="n">
        <v>999354</v>
      </c>
      <c r="E1142" s="16" t="n">
        <f aca="false">COUNTIFS($A$2:$A$1561,A1142,$B$2:$B$1561,"&gt;"&amp;B1142)+1</f>
        <v>160</v>
      </c>
      <c r="F1142" s="16" t="n">
        <f aca="false">IF(A1142=A1141,C1142-C1141,"")</f>
        <v>15.8000000000002</v>
      </c>
      <c r="G1142" s="16" t="n">
        <f aca="false">IF(A1142=A1141,IF(F1142&gt;0,F1142,0),"")</f>
        <v>15.8000000000002</v>
      </c>
      <c r="H1142" s="16" t="n">
        <f aca="false">IF(A1142=A1141,IF(F1142&lt;0,-F1142,0),"")</f>
        <v>0</v>
      </c>
    </row>
    <row r="1143" customFormat="false" ht="15" hidden="false" customHeight="false" outlineLevel="0" collapsed="false">
      <c r="A1143" s="14" t="s">
        <v>102</v>
      </c>
      <c r="B1143" s="15" t="n">
        <v>46015</v>
      </c>
      <c r="C1143" s="14" t="n">
        <v>2242.84</v>
      </c>
      <c r="D1143" s="14" t="n">
        <v>2156963</v>
      </c>
      <c r="E1143" s="16" t="n">
        <f aca="false">COUNTIFS($A$2:$A$1561,A1143,$B$2:$B$1561,"&gt;"&amp;B1143)+1</f>
        <v>159</v>
      </c>
      <c r="F1143" s="16" t="n">
        <f aca="false">IF(A1143=A1142,C1143-C1142,"")</f>
        <v>9.71000000000004</v>
      </c>
      <c r="G1143" s="16" t="n">
        <f aca="false">IF(A1143=A1142,IF(F1143&gt;0,F1143,0),"")</f>
        <v>9.71000000000004</v>
      </c>
      <c r="H1143" s="16" t="n">
        <f aca="false">IF(A1143=A1142,IF(F1143&lt;0,-F1143,0),"")</f>
        <v>0</v>
      </c>
    </row>
    <row r="1144" customFormat="false" ht="15" hidden="false" customHeight="false" outlineLevel="0" collapsed="false">
      <c r="A1144" s="14" t="s">
        <v>102</v>
      </c>
      <c r="B1144" s="15" t="n">
        <v>46016</v>
      </c>
      <c r="C1144" s="14" t="n">
        <v>2254.6</v>
      </c>
      <c r="D1144" s="14" t="n">
        <v>1852469</v>
      </c>
      <c r="E1144" s="16" t="n">
        <f aca="false">COUNTIFS($A$2:$A$1561,A1144,$B$2:$B$1561,"&gt;"&amp;B1144)+1</f>
        <v>158</v>
      </c>
      <c r="F1144" s="16" t="n">
        <f aca="false">IF(A1144=A1143,C1144-C1143,"")</f>
        <v>11.7599999999998</v>
      </c>
      <c r="G1144" s="16" t="n">
        <f aca="false">IF(A1144=A1143,IF(F1144&gt;0,F1144,0),"")</f>
        <v>11.7599999999998</v>
      </c>
      <c r="H1144" s="16" t="n">
        <f aca="false">IF(A1144=A1143,IF(F1144&lt;0,-F1144,0),"")</f>
        <v>0</v>
      </c>
    </row>
    <row r="1145" customFormat="false" ht="15" hidden="false" customHeight="false" outlineLevel="0" collapsed="false">
      <c r="A1145" s="14" t="s">
        <v>102</v>
      </c>
      <c r="B1145" s="15" t="n">
        <v>46017</v>
      </c>
      <c r="C1145" s="14" t="n">
        <v>2255.39</v>
      </c>
      <c r="D1145" s="14" t="n">
        <v>1654851</v>
      </c>
      <c r="E1145" s="16" t="n">
        <f aca="false">COUNTIFS($A$2:$A$1561,A1145,$B$2:$B$1561,"&gt;"&amp;B1145)+1</f>
        <v>157</v>
      </c>
      <c r="F1145" s="16" t="n">
        <f aca="false">IF(A1145=A1144,C1145-C1144,"")</f>
        <v>0.789999999999964</v>
      </c>
      <c r="G1145" s="16" t="n">
        <f aca="false">IF(A1145=A1144,IF(F1145&gt;0,F1145,0),"")</f>
        <v>0.789999999999964</v>
      </c>
      <c r="H1145" s="16" t="n">
        <f aca="false">IF(A1145=A1144,IF(F1145&lt;0,-F1145,0),"")</f>
        <v>0</v>
      </c>
    </row>
    <row r="1146" customFormat="false" ht="15" hidden="false" customHeight="false" outlineLevel="0" collapsed="false">
      <c r="A1146" s="14" t="s">
        <v>102</v>
      </c>
      <c r="B1146" s="15" t="n">
        <v>46020</v>
      </c>
      <c r="C1146" s="14" t="n">
        <v>2247.22</v>
      </c>
      <c r="D1146" s="14" t="n">
        <v>1328450</v>
      </c>
      <c r="E1146" s="16" t="n">
        <f aca="false">COUNTIFS($A$2:$A$1561,A1146,$B$2:$B$1561,"&gt;"&amp;B1146)+1</f>
        <v>156</v>
      </c>
      <c r="F1146" s="16" t="n">
        <f aca="false">IF(A1146=A1145,C1146-C1145,"")</f>
        <v>-8.17000000000007</v>
      </c>
      <c r="G1146" s="16" t="n">
        <f aca="false">IF(A1146=A1145,IF(F1146&gt;0,F1146,0),"")</f>
        <v>0</v>
      </c>
      <c r="H1146" s="16" t="n">
        <f aca="false">IF(A1146=A1145,IF(F1146&lt;0,-F1146,0),"")</f>
        <v>8.17000000000007</v>
      </c>
    </row>
    <row r="1147" customFormat="false" ht="15" hidden="false" customHeight="false" outlineLevel="0" collapsed="false">
      <c r="A1147" s="14" t="s">
        <v>102</v>
      </c>
      <c r="B1147" s="15" t="n">
        <v>46021</v>
      </c>
      <c r="C1147" s="14" t="n">
        <v>2246.49</v>
      </c>
      <c r="D1147" s="14" t="n">
        <v>1767255</v>
      </c>
      <c r="E1147" s="16" t="n">
        <f aca="false">COUNTIFS($A$2:$A$1561,A1147,$B$2:$B$1561,"&gt;"&amp;B1147)+1</f>
        <v>155</v>
      </c>
      <c r="F1147" s="16" t="n">
        <f aca="false">IF(A1147=A1146,C1147-C1146,"")</f>
        <v>-0.730000000000018</v>
      </c>
      <c r="G1147" s="16" t="n">
        <f aca="false">IF(A1147=A1146,IF(F1147&gt;0,F1147,0),"")</f>
        <v>0</v>
      </c>
      <c r="H1147" s="16" t="n">
        <f aca="false">IF(A1147=A1146,IF(F1147&lt;0,-F1147,0),"")</f>
        <v>0.730000000000018</v>
      </c>
    </row>
    <row r="1148" customFormat="false" ht="15" hidden="false" customHeight="false" outlineLevel="0" collapsed="false">
      <c r="A1148" s="14" t="s">
        <v>102</v>
      </c>
      <c r="B1148" s="15" t="n">
        <v>46022</v>
      </c>
      <c r="C1148" s="14" t="n">
        <v>2263.08</v>
      </c>
      <c r="D1148" s="14" t="n">
        <v>686189</v>
      </c>
      <c r="E1148" s="16" t="n">
        <f aca="false">COUNTIFS($A$2:$A$1561,A1148,$B$2:$B$1561,"&gt;"&amp;B1148)+1</f>
        <v>154</v>
      </c>
      <c r="F1148" s="16" t="n">
        <f aca="false">IF(A1148=A1147,C1148-C1147,"")</f>
        <v>16.5900000000001</v>
      </c>
      <c r="G1148" s="16" t="n">
        <f aca="false">IF(A1148=A1147,IF(F1148&gt;0,F1148,0),"")</f>
        <v>16.5900000000001</v>
      </c>
      <c r="H1148" s="16" t="n">
        <f aca="false">IF(A1148=A1147,IF(F1148&lt;0,-F1148,0),"")</f>
        <v>0</v>
      </c>
    </row>
    <row r="1149" customFormat="false" ht="15" hidden="false" customHeight="false" outlineLevel="0" collapsed="false">
      <c r="A1149" s="14" t="s">
        <v>102</v>
      </c>
      <c r="B1149" s="15" t="n">
        <v>46023</v>
      </c>
      <c r="C1149" s="14" t="n">
        <v>2264.94</v>
      </c>
      <c r="D1149" s="14" t="n">
        <v>1056451</v>
      </c>
      <c r="E1149" s="16" t="n">
        <f aca="false">COUNTIFS($A$2:$A$1561,A1149,$B$2:$B$1561,"&gt;"&amp;B1149)+1</f>
        <v>153</v>
      </c>
      <c r="F1149" s="16" t="n">
        <f aca="false">IF(A1149=A1148,C1149-C1148,"")</f>
        <v>1.86000000000013</v>
      </c>
      <c r="G1149" s="16" t="n">
        <f aca="false">IF(A1149=A1148,IF(F1149&gt;0,F1149,0),"")</f>
        <v>1.86000000000013</v>
      </c>
      <c r="H1149" s="16" t="n">
        <f aca="false">IF(A1149=A1148,IF(F1149&lt;0,-F1149,0),"")</f>
        <v>0</v>
      </c>
    </row>
    <row r="1150" customFormat="false" ht="15" hidden="false" customHeight="false" outlineLevel="0" collapsed="false">
      <c r="A1150" s="14" t="s">
        <v>102</v>
      </c>
      <c r="B1150" s="15" t="n">
        <v>46024</v>
      </c>
      <c r="C1150" s="14" t="n">
        <v>2283.95</v>
      </c>
      <c r="D1150" s="14" t="n">
        <v>1238142</v>
      </c>
      <c r="E1150" s="16" t="n">
        <f aca="false">COUNTIFS($A$2:$A$1561,A1150,$B$2:$B$1561,"&gt;"&amp;B1150)+1</f>
        <v>152</v>
      </c>
      <c r="F1150" s="16" t="n">
        <f aca="false">IF(A1150=A1149,C1150-C1149,"")</f>
        <v>19.0099999999998</v>
      </c>
      <c r="G1150" s="16" t="n">
        <f aca="false">IF(A1150=A1149,IF(F1150&gt;0,F1150,0),"")</f>
        <v>19.0099999999998</v>
      </c>
      <c r="H1150" s="16" t="n">
        <f aca="false">IF(A1150=A1149,IF(F1150&lt;0,-F1150,0),"")</f>
        <v>0</v>
      </c>
    </row>
    <row r="1151" customFormat="false" ht="15" hidden="false" customHeight="false" outlineLevel="0" collapsed="false">
      <c r="A1151" s="14" t="s">
        <v>102</v>
      </c>
      <c r="B1151" s="15" t="n">
        <v>46027</v>
      </c>
      <c r="C1151" s="14" t="n">
        <v>2303.69</v>
      </c>
      <c r="D1151" s="14" t="n">
        <v>1154578</v>
      </c>
      <c r="E1151" s="16" t="n">
        <f aca="false">COUNTIFS($A$2:$A$1561,A1151,$B$2:$B$1561,"&gt;"&amp;B1151)+1</f>
        <v>151</v>
      </c>
      <c r="F1151" s="16" t="n">
        <f aca="false">IF(A1151=A1150,C1151-C1150,"")</f>
        <v>19.7400000000002</v>
      </c>
      <c r="G1151" s="16" t="n">
        <f aca="false">IF(A1151=A1150,IF(F1151&gt;0,F1151,0),"")</f>
        <v>19.7400000000002</v>
      </c>
      <c r="H1151" s="16" t="n">
        <f aca="false">IF(A1151=A1150,IF(F1151&lt;0,-F1151,0),"")</f>
        <v>0</v>
      </c>
    </row>
    <row r="1152" customFormat="false" ht="15" hidden="false" customHeight="false" outlineLevel="0" collapsed="false">
      <c r="A1152" s="14" t="s">
        <v>102</v>
      </c>
      <c r="B1152" s="15" t="n">
        <v>46028</v>
      </c>
      <c r="C1152" s="14" t="n">
        <v>2284.31</v>
      </c>
      <c r="D1152" s="14" t="n">
        <v>2048270</v>
      </c>
      <c r="E1152" s="16" t="n">
        <f aca="false">COUNTIFS($A$2:$A$1561,A1152,$B$2:$B$1561,"&gt;"&amp;B1152)+1</f>
        <v>150</v>
      </c>
      <c r="F1152" s="16" t="n">
        <f aca="false">IF(A1152=A1151,C1152-C1151,"")</f>
        <v>-19.3800000000001</v>
      </c>
      <c r="G1152" s="16" t="n">
        <f aca="false">IF(A1152=A1151,IF(F1152&gt;0,F1152,0),"")</f>
        <v>0</v>
      </c>
      <c r="H1152" s="16" t="n">
        <f aca="false">IF(A1152=A1151,IF(F1152&lt;0,-F1152,0),"")</f>
        <v>19.3800000000001</v>
      </c>
    </row>
    <row r="1153" customFormat="false" ht="15" hidden="false" customHeight="false" outlineLevel="0" collapsed="false">
      <c r="A1153" s="14" t="s">
        <v>102</v>
      </c>
      <c r="B1153" s="15" t="n">
        <v>46029</v>
      </c>
      <c r="C1153" s="14" t="n">
        <v>2295.11</v>
      </c>
      <c r="D1153" s="14" t="n">
        <v>1961863</v>
      </c>
      <c r="E1153" s="16" t="n">
        <f aca="false">COUNTIFS($A$2:$A$1561,A1153,$B$2:$B$1561,"&gt;"&amp;B1153)+1</f>
        <v>149</v>
      </c>
      <c r="F1153" s="16" t="n">
        <f aca="false">IF(A1153=A1152,C1153-C1152,"")</f>
        <v>10.8000000000002</v>
      </c>
      <c r="G1153" s="16" t="n">
        <f aca="false">IF(A1153=A1152,IF(F1153&gt;0,F1153,0),"")</f>
        <v>10.8000000000002</v>
      </c>
      <c r="H1153" s="16" t="n">
        <f aca="false">IF(A1153=A1152,IF(F1153&lt;0,-F1153,0),"")</f>
        <v>0</v>
      </c>
    </row>
    <row r="1154" customFormat="false" ht="15" hidden="false" customHeight="false" outlineLevel="0" collapsed="false">
      <c r="A1154" s="14" t="s">
        <v>102</v>
      </c>
      <c r="B1154" s="15" t="n">
        <v>46030</v>
      </c>
      <c r="C1154" s="14" t="n">
        <v>2294.63</v>
      </c>
      <c r="D1154" s="14" t="n">
        <v>1828287</v>
      </c>
      <c r="E1154" s="16" t="n">
        <f aca="false">COUNTIFS($A$2:$A$1561,A1154,$B$2:$B$1561,"&gt;"&amp;B1154)+1</f>
        <v>148</v>
      </c>
      <c r="F1154" s="16" t="n">
        <f aca="false">IF(A1154=A1153,C1154-C1153,"")</f>
        <v>-0.480000000000018</v>
      </c>
      <c r="G1154" s="16" t="n">
        <f aca="false">IF(A1154=A1153,IF(F1154&gt;0,F1154,0),"")</f>
        <v>0</v>
      </c>
      <c r="H1154" s="16" t="n">
        <f aca="false">IF(A1154=A1153,IF(F1154&lt;0,-F1154,0),"")</f>
        <v>0.480000000000018</v>
      </c>
    </row>
    <row r="1155" customFormat="false" ht="15" hidden="false" customHeight="false" outlineLevel="0" collapsed="false">
      <c r="A1155" s="14" t="s">
        <v>102</v>
      </c>
      <c r="B1155" s="15" t="n">
        <v>46031</v>
      </c>
      <c r="C1155" s="14" t="n">
        <v>2290.01</v>
      </c>
      <c r="D1155" s="14" t="n">
        <v>626661</v>
      </c>
      <c r="E1155" s="16" t="n">
        <f aca="false">COUNTIFS($A$2:$A$1561,A1155,$B$2:$B$1561,"&gt;"&amp;B1155)+1</f>
        <v>147</v>
      </c>
      <c r="F1155" s="16" t="n">
        <f aca="false">IF(A1155=A1154,C1155-C1154,"")</f>
        <v>-4.61999999999989</v>
      </c>
      <c r="G1155" s="16" t="n">
        <f aca="false">IF(A1155=A1154,IF(F1155&gt;0,F1155,0),"")</f>
        <v>0</v>
      </c>
      <c r="H1155" s="16" t="n">
        <f aca="false">IF(A1155=A1154,IF(F1155&lt;0,-F1155,0),"")</f>
        <v>4.61999999999989</v>
      </c>
    </row>
    <row r="1156" customFormat="false" ht="15" hidden="false" customHeight="false" outlineLevel="0" collapsed="false">
      <c r="A1156" s="14" t="s">
        <v>102</v>
      </c>
      <c r="B1156" s="15" t="n">
        <v>46034</v>
      </c>
      <c r="C1156" s="14" t="n">
        <v>2292.67</v>
      </c>
      <c r="D1156" s="14" t="n">
        <v>935659</v>
      </c>
      <c r="E1156" s="16" t="n">
        <f aca="false">COUNTIFS($A$2:$A$1561,A1156,$B$2:$B$1561,"&gt;"&amp;B1156)+1</f>
        <v>146</v>
      </c>
      <c r="F1156" s="16" t="n">
        <f aca="false">IF(A1156=A1155,C1156-C1155,"")</f>
        <v>2.65999999999985</v>
      </c>
      <c r="G1156" s="16" t="n">
        <f aca="false">IF(A1156=A1155,IF(F1156&gt;0,F1156,0),"")</f>
        <v>2.65999999999985</v>
      </c>
      <c r="H1156" s="16" t="n">
        <f aca="false">IF(A1156=A1155,IF(F1156&lt;0,-F1156,0),"")</f>
        <v>0</v>
      </c>
    </row>
    <row r="1157" customFormat="false" ht="15" hidden="false" customHeight="false" outlineLevel="0" collapsed="false">
      <c r="A1157" s="14" t="s">
        <v>102</v>
      </c>
      <c r="B1157" s="15" t="n">
        <v>46035</v>
      </c>
      <c r="C1157" s="14" t="n">
        <v>2291</v>
      </c>
      <c r="D1157" s="14" t="n">
        <v>923702</v>
      </c>
      <c r="E1157" s="16" t="n">
        <f aca="false">COUNTIFS($A$2:$A$1561,A1157,$B$2:$B$1561,"&gt;"&amp;B1157)+1</f>
        <v>145</v>
      </c>
      <c r="F1157" s="16" t="n">
        <f aca="false">IF(A1157=A1156,C1157-C1156,"")</f>
        <v>-1.67000000000007</v>
      </c>
      <c r="G1157" s="16" t="n">
        <f aca="false">IF(A1157=A1156,IF(F1157&gt;0,F1157,0),"")</f>
        <v>0</v>
      </c>
      <c r="H1157" s="16" t="n">
        <f aca="false">IF(A1157=A1156,IF(F1157&lt;0,-F1157,0),"")</f>
        <v>1.67000000000007</v>
      </c>
    </row>
    <row r="1158" customFormat="false" ht="15" hidden="false" customHeight="false" outlineLevel="0" collapsed="false">
      <c r="A1158" s="14" t="s">
        <v>102</v>
      </c>
      <c r="B1158" s="15" t="n">
        <v>46036</v>
      </c>
      <c r="C1158" s="14" t="n">
        <v>2282.7</v>
      </c>
      <c r="D1158" s="14" t="n">
        <v>2156687</v>
      </c>
      <c r="E1158" s="16" t="n">
        <f aca="false">COUNTIFS($A$2:$A$1561,A1158,$B$2:$B$1561,"&gt;"&amp;B1158)+1</f>
        <v>144</v>
      </c>
      <c r="F1158" s="16" t="n">
        <f aca="false">IF(A1158=A1157,C1158-C1157,"")</f>
        <v>-8.30000000000018</v>
      </c>
      <c r="G1158" s="16" t="n">
        <f aca="false">IF(A1158=A1157,IF(F1158&gt;0,F1158,0),"")</f>
        <v>0</v>
      </c>
      <c r="H1158" s="16" t="n">
        <f aca="false">IF(A1158=A1157,IF(F1158&lt;0,-F1158,0),"")</f>
        <v>8.30000000000018</v>
      </c>
    </row>
    <row r="1159" customFormat="false" ht="15" hidden="false" customHeight="false" outlineLevel="0" collapsed="false">
      <c r="A1159" s="14" t="s">
        <v>102</v>
      </c>
      <c r="B1159" s="15" t="n">
        <v>46037</v>
      </c>
      <c r="C1159" s="14" t="n">
        <v>2277.26</v>
      </c>
      <c r="D1159" s="14" t="n">
        <v>1655867</v>
      </c>
      <c r="E1159" s="16" t="n">
        <f aca="false">COUNTIFS($A$2:$A$1561,A1159,$B$2:$B$1561,"&gt;"&amp;B1159)+1</f>
        <v>143</v>
      </c>
      <c r="F1159" s="16" t="n">
        <f aca="false">IF(A1159=A1158,C1159-C1158,"")</f>
        <v>-5.4399999999996</v>
      </c>
      <c r="G1159" s="16" t="n">
        <f aca="false">IF(A1159=A1158,IF(F1159&gt;0,F1159,0),"")</f>
        <v>0</v>
      </c>
      <c r="H1159" s="16" t="n">
        <f aca="false">IF(A1159=A1158,IF(F1159&lt;0,-F1159,0),"")</f>
        <v>5.4399999999996</v>
      </c>
    </row>
    <row r="1160" customFormat="false" ht="15" hidden="false" customHeight="false" outlineLevel="0" collapsed="false">
      <c r="A1160" s="14" t="s">
        <v>102</v>
      </c>
      <c r="B1160" s="15" t="n">
        <v>46038</v>
      </c>
      <c r="C1160" s="14" t="n">
        <v>2281.2</v>
      </c>
      <c r="D1160" s="14" t="n">
        <v>1470675</v>
      </c>
      <c r="E1160" s="16" t="n">
        <f aca="false">COUNTIFS($A$2:$A$1561,A1160,$B$2:$B$1561,"&gt;"&amp;B1160)+1</f>
        <v>142</v>
      </c>
      <c r="F1160" s="16" t="n">
        <f aca="false">IF(A1160=A1159,C1160-C1159,"")</f>
        <v>3.9399999999996</v>
      </c>
      <c r="G1160" s="16" t="n">
        <f aca="false">IF(A1160=A1159,IF(F1160&gt;0,F1160,0),"")</f>
        <v>3.9399999999996</v>
      </c>
      <c r="H1160" s="16" t="n">
        <f aca="false">IF(A1160=A1159,IF(F1160&lt;0,-F1160,0),"")</f>
        <v>0</v>
      </c>
    </row>
    <row r="1161" customFormat="false" ht="15" hidden="false" customHeight="false" outlineLevel="0" collapsed="false">
      <c r="A1161" s="14" t="s">
        <v>102</v>
      </c>
      <c r="B1161" s="15" t="n">
        <v>46041</v>
      </c>
      <c r="C1161" s="14" t="n">
        <v>2276.02</v>
      </c>
      <c r="D1161" s="14" t="n">
        <v>1865103</v>
      </c>
      <c r="E1161" s="16" t="n">
        <f aca="false">COUNTIFS($A$2:$A$1561,A1161,$B$2:$B$1561,"&gt;"&amp;B1161)+1</f>
        <v>141</v>
      </c>
      <c r="F1161" s="16" t="n">
        <f aca="false">IF(A1161=A1160,C1161-C1160,"")</f>
        <v>-5.17999999999984</v>
      </c>
      <c r="G1161" s="16" t="n">
        <f aca="false">IF(A1161=A1160,IF(F1161&gt;0,F1161,0),"")</f>
        <v>0</v>
      </c>
      <c r="H1161" s="16" t="n">
        <f aca="false">IF(A1161=A1160,IF(F1161&lt;0,-F1161,0),"")</f>
        <v>5.17999999999984</v>
      </c>
    </row>
    <row r="1162" customFormat="false" ht="15" hidden="false" customHeight="false" outlineLevel="0" collapsed="false">
      <c r="A1162" s="14" t="s">
        <v>102</v>
      </c>
      <c r="B1162" s="15" t="n">
        <v>46042</v>
      </c>
      <c r="C1162" s="14" t="n">
        <v>2258.75</v>
      </c>
      <c r="D1162" s="14" t="n">
        <v>699149</v>
      </c>
      <c r="E1162" s="16" t="n">
        <f aca="false">COUNTIFS($A$2:$A$1561,A1162,$B$2:$B$1561,"&gt;"&amp;B1162)+1</f>
        <v>140</v>
      </c>
      <c r="F1162" s="16" t="n">
        <f aca="false">IF(A1162=A1161,C1162-C1161,"")</f>
        <v>-17.27</v>
      </c>
      <c r="G1162" s="16" t="n">
        <f aca="false">IF(A1162=A1161,IF(F1162&gt;0,F1162,0),"")</f>
        <v>0</v>
      </c>
      <c r="H1162" s="16" t="n">
        <f aca="false">IF(A1162=A1161,IF(F1162&lt;0,-F1162,0),"")</f>
        <v>17.27</v>
      </c>
    </row>
    <row r="1163" customFormat="false" ht="15" hidden="false" customHeight="false" outlineLevel="0" collapsed="false">
      <c r="A1163" s="14" t="s">
        <v>102</v>
      </c>
      <c r="B1163" s="15" t="n">
        <v>46043</v>
      </c>
      <c r="C1163" s="14" t="n">
        <v>2271.51</v>
      </c>
      <c r="D1163" s="14" t="n">
        <v>1419163</v>
      </c>
      <c r="E1163" s="16" t="n">
        <f aca="false">COUNTIFS($A$2:$A$1561,A1163,$B$2:$B$1561,"&gt;"&amp;B1163)+1</f>
        <v>139</v>
      </c>
      <c r="F1163" s="16" t="n">
        <f aca="false">IF(A1163=A1162,C1163-C1162,"")</f>
        <v>12.7600000000002</v>
      </c>
      <c r="G1163" s="16" t="n">
        <f aca="false">IF(A1163=A1162,IF(F1163&gt;0,F1163,0),"")</f>
        <v>12.7600000000002</v>
      </c>
      <c r="H1163" s="16" t="n">
        <f aca="false">IF(A1163=A1162,IF(F1163&lt;0,-F1163,0),"")</f>
        <v>0</v>
      </c>
    </row>
    <row r="1164" customFormat="false" ht="15" hidden="false" customHeight="false" outlineLevel="0" collapsed="false">
      <c r="A1164" s="14" t="s">
        <v>102</v>
      </c>
      <c r="B1164" s="15" t="n">
        <v>46044</v>
      </c>
      <c r="C1164" s="14" t="n">
        <v>2257.37</v>
      </c>
      <c r="D1164" s="14" t="n">
        <v>2215303</v>
      </c>
      <c r="E1164" s="16" t="n">
        <f aca="false">COUNTIFS($A$2:$A$1561,A1164,$B$2:$B$1561,"&gt;"&amp;B1164)+1</f>
        <v>138</v>
      </c>
      <c r="F1164" s="16" t="n">
        <f aca="false">IF(A1164=A1163,C1164-C1163,"")</f>
        <v>-14.1400000000003</v>
      </c>
      <c r="G1164" s="16" t="n">
        <f aca="false">IF(A1164=A1163,IF(F1164&gt;0,F1164,0),"")</f>
        <v>0</v>
      </c>
      <c r="H1164" s="16" t="n">
        <f aca="false">IF(A1164=A1163,IF(F1164&lt;0,-F1164,0),"")</f>
        <v>14.1400000000003</v>
      </c>
    </row>
    <row r="1165" customFormat="false" ht="15" hidden="false" customHeight="false" outlineLevel="0" collapsed="false">
      <c r="A1165" s="14" t="s">
        <v>102</v>
      </c>
      <c r="B1165" s="15" t="n">
        <v>46045</v>
      </c>
      <c r="C1165" s="14" t="n">
        <v>2256.21</v>
      </c>
      <c r="D1165" s="14" t="n">
        <v>501351</v>
      </c>
      <c r="E1165" s="16" t="n">
        <f aca="false">COUNTIFS($A$2:$A$1561,A1165,$B$2:$B$1561,"&gt;"&amp;B1165)+1</f>
        <v>137</v>
      </c>
      <c r="F1165" s="16" t="n">
        <f aca="false">IF(A1165=A1164,C1165-C1164,"")</f>
        <v>-1.15999999999985</v>
      </c>
      <c r="G1165" s="16" t="n">
        <f aca="false">IF(A1165=A1164,IF(F1165&gt;0,F1165,0),"")</f>
        <v>0</v>
      </c>
      <c r="H1165" s="16" t="n">
        <f aca="false">IF(A1165=A1164,IF(F1165&lt;0,-F1165,0),"")</f>
        <v>1.15999999999985</v>
      </c>
    </row>
    <row r="1166" customFormat="false" ht="15" hidden="false" customHeight="false" outlineLevel="0" collapsed="false">
      <c r="A1166" s="14" t="s">
        <v>102</v>
      </c>
      <c r="B1166" s="15" t="n">
        <v>46048</v>
      </c>
      <c r="C1166" s="14" t="n">
        <v>2276.03</v>
      </c>
      <c r="D1166" s="14" t="n">
        <v>904636</v>
      </c>
      <c r="E1166" s="16" t="n">
        <f aca="false">COUNTIFS($A$2:$A$1561,A1166,$B$2:$B$1561,"&gt;"&amp;B1166)+1</f>
        <v>136</v>
      </c>
      <c r="F1166" s="16" t="n">
        <f aca="false">IF(A1166=A1165,C1166-C1165,"")</f>
        <v>19.8200000000002</v>
      </c>
      <c r="G1166" s="16" t="n">
        <f aca="false">IF(A1166=A1165,IF(F1166&gt;0,F1166,0),"")</f>
        <v>19.8200000000002</v>
      </c>
      <c r="H1166" s="16" t="n">
        <f aca="false">IF(A1166=A1165,IF(F1166&lt;0,-F1166,0),"")</f>
        <v>0</v>
      </c>
    </row>
    <row r="1167" customFormat="false" ht="15" hidden="false" customHeight="false" outlineLevel="0" collapsed="false">
      <c r="A1167" s="14" t="s">
        <v>102</v>
      </c>
      <c r="B1167" s="15" t="n">
        <v>46049</v>
      </c>
      <c r="C1167" s="14" t="n">
        <v>2284.98</v>
      </c>
      <c r="D1167" s="14" t="n">
        <v>763826</v>
      </c>
      <c r="E1167" s="16" t="n">
        <f aca="false">COUNTIFS($A$2:$A$1561,A1167,$B$2:$B$1561,"&gt;"&amp;B1167)+1</f>
        <v>135</v>
      </c>
      <c r="F1167" s="16" t="n">
        <f aca="false">IF(A1167=A1166,C1167-C1166,"")</f>
        <v>8.94999999999982</v>
      </c>
      <c r="G1167" s="16" t="n">
        <f aca="false">IF(A1167=A1166,IF(F1167&gt;0,F1167,0),"")</f>
        <v>8.94999999999982</v>
      </c>
      <c r="H1167" s="16" t="n">
        <f aca="false">IF(A1167=A1166,IF(F1167&lt;0,-F1167,0),"")</f>
        <v>0</v>
      </c>
    </row>
    <row r="1168" customFormat="false" ht="15" hidden="false" customHeight="false" outlineLevel="0" collapsed="false">
      <c r="A1168" s="14" t="s">
        <v>102</v>
      </c>
      <c r="B1168" s="15" t="n">
        <v>46050</v>
      </c>
      <c r="C1168" s="14" t="n">
        <v>2292.38</v>
      </c>
      <c r="D1168" s="14" t="n">
        <v>817954</v>
      </c>
      <c r="E1168" s="16" t="n">
        <f aca="false">COUNTIFS($A$2:$A$1561,A1168,$B$2:$B$1561,"&gt;"&amp;B1168)+1</f>
        <v>134</v>
      </c>
      <c r="F1168" s="16" t="n">
        <f aca="false">IF(A1168=A1167,C1168-C1167,"")</f>
        <v>7.40000000000009</v>
      </c>
      <c r="G1168" s="16" t="n">
        <f aca="false">IF(A1168=A1167,IF(F1168&gt;0,F1168,0),"")</f>
        <v>7.40000000000009</v>
      </c>
      <c r="H1168" s="16" t="n">
        <f aca="false">IF(A1168=A1167,IF(F1168&lt;0,-F1168,0),"")</f>
        <v>0</v>
      </c>
    </row>
    <row r="1169" customFormat="false" ht="15" hidden="false" customHeight="false" outlineLevel="0" collapsed="false">
      <c r="A1169" s="14" t="s">
        <v>102</v>
      </c>
      <c r="B1169" s="15" t="n">
        <v>46051</v>
      </c>
      <c r="C1169" s="14" t="n">
        <v>2311.48</v>
      </c>
      <c r="D1169" s="14" t="n">
        <v>1048038</v>
      </c>
      <c r="E1169" s="16" t="n">
        <f aca="false">COUNTIFS($A$2:$A$1561,A1169,$B$2:$B$1561,"&gt;"&amp;B1169)+1</f>
        <v>133</v>
      </c>
      <c r="F1169" s="16" t="n">
        <f aca="false">IF(A1169=A1168,C1169-C1168,"")</f>
        <v>19.0999999999999</v>
      </c>
      <c r="G1169" s="16" t="n">
        <f aca="false">IF(A1169=A1168,IF(F1169&gt;0,F1169,0),"")</f>
        <v>19.0999999999999</v>
      </c>
      <c r="H1169" s="16" t="n">
        <f aca="false">IF(A1169=A1168,IF(F1169&lt;0,-F1169,0),"")</f>
        <v>0</v>
      </c>
    </row>
    <row r="1170" customFormat="false" ht="15" hidden="false" customHeight="false" outlineLevel="0" collapsed="false">
      <c r="A1170" s="14" t="s">
        <v>102</v>
      </c>
      <c r="B1170" s="15" t="n">
        <v>46052</v>
      </c>
      <c r="C1170" s="14" t="n">
        <v>2319.16</v>
      </c>
      <c r="D1170" s="14" t="n">
        <v>1000778</v>
      </c>
      <c r="E1170" s="16" t="n">
        <f aca="false">COUNTIFS($A$2:$A$1561,A1170,$B$2:$B$1561,"&gt;"&amp;B1170)+1</f>
        <v>132</v>
      </c>
      <c r="F1170" s="16" t="n">
        <f aca="false">IF(A1170=A1169,C1170-C1169,"")</f>
        <v>7.67999999999984</v>
      </c>
      <c r="G1170" s="16" t="n">
        <f aca="false">IF(A1170=A1169,IF(F1170&gt;0,F1170,0),"")</f>
        <v>7.67999999999984</v>
      </c>
      <c r="H1170" s="16" t="n">
        <f aca="false">IF(A1170=A1169,IF(F1170&lt;0,-F1170,0),"")</f>
        <v>0</v>
      </c>
    </row>
    <row r="1171" customFormat="false" ht="15" hidden="false" customHeight="false" outlineLevel="0" collapsed="false">
      <c r="A1171" s="14" t="s">
        <v>102</v>
      </c>
      <c r="B1171" s="15" t="n">
        <v>46055</v>
      </c>
      <c r="C1171" s="14" t="n">
        <v>2315.06</v>
      </c>
      <c r="D1171" s="14" t="n">
        <v>2307600</v>
      </c>
      <c r="E1171" s="16" t="n">
        <f aca="false">COUNTIFS($A$2:$A$1561,A1171,$B$2:$B$1561,"&gt;"&amp;B1171)+1</f>
        <v>131</v>
      </c>
      <c r="F1171" s="16" t="n">
        <f aca="false">IF(A1171=A1170,C1171-C1170,"")</f>
        <v>-4.09999999999991</v>
      </c>
      <c r="G1171" s="16" t="n">
        <f aca="false">IF(A1171=A1170,IF(F1171&gt;0,F1171,0),"")</f>
        <v>0</v>
      </c>
      <c r="H1171" s="16" t="n">
        <f aca="false">IF(A1171=A1170,IF(F1171&lt;0,-F1171,0),"")</f>
        <v>4.09999999999991</v>
      </c>
    </row>
    <row r="1172" customFormat="false" ht="15" hidden="false" customHeight="false" outlineLevel="0" collapsed="false">
      <c r="A1172" s="14" t="s">
        <v>102</v>
      </c>
      <c r="B1172" s="15" t="n">
        <v>46056</v>
      </c>
      <c r="C1172" s="14" t="n">
        <v>2302.37</v>
      </c>
      <c r="D1172" s="14" t="n">
        <v>1292683</v>
      </c>
      <c r="E1172" s="16" t="n">
        <f aca="false">COUNTIFS($A$2:$A$1561,A1172,$B$2:$B$1561,"&gt;"&amp;B1172)+1</f>
        <v>130</v>
      </c>
      <c r="F1172" s="16" t="n">
        <f aca="false">IF(A1172=A1171,C1172-C1171,"")</f>
        <v>-12.6900000000001</v>
      </c>
      <c r="G1172" s="16" t="n">
        <f aca="false">IF(A1172=A1171,IF(F1172&gt;0,F1172,0),"")</f>
        <v>0</v>
      </c>
      <c r="H1172" s="16" t="n">
        <f aca="false">IF(A1172=A1171,IF(F1172&lt;0,-F1172,0),"")</f>
        <v>12.6900000000001</v>
      </c>
    </row>
    <row r="1173" customFormat="false" ht="15" hidden="false" customHeight="false" outlineLevel="0" collapsed="false">
      <c r="A1173" s="14" t="s">
        <v>102</v>
      </c>
      <c r="B1173" s="15" t="n">
        <v>46057</v>
      </c>
      <c r="C1173" s="14" t="n">
        <v>2295.55</v>
      </c>
      <c r="D1173" s="14" t="n">
        <v>1898882</v>
      </c>
      <c r="E1173" s="16" t="n">
        <f aca="false">COUNTIFS($A$2:$A$1561,A1173,$B$2:$B$1561,"&gt;"&amp;B1173)+1</f>
        <v>129</v>
      </c>
      <c r="F1173" s="16" t="n">
        <f aca="false">IF(A1173=A1172,C1173-C1172,"")</f>
        <v>-6.81999999999971</v>
      </c>
      <c r="G1173" s="16" t="n">
        <f aca="false">IF(A1173=A1172,IF(F1173&gt;0,F1173,0),"")</f>
        <v>0</v>
      </c>
      <c r="H1173" s="16" t="n">
        <f aca="false">IF(A1173=A1172,IF(F1173&lt;0,-F1173,0),"")</f>
        <v>6.81999999999971</v>
      </c>
    </row>
    <row r="1174" customFormat="false" ht="15" hidden="false" customHeight="false" outlineLevel="0" collapsed="false">
      <c r="A1174" s="14" t="s">
        <v>102</v>
      </c>
      <c r="B1174" s="15" t="n">
        <v>46058</v>
      </c>
      <c r="C1174" s="14" t="n">
        <v>2285.81</v>
      </c>
      <c r="D1174" s="14" t="n">
        <v>1810970</v>
      </c>
      <c r="E1174" s="16" t="n">
        <f aca="false">COUNTIFS($A$2:$A$1561,A1174,$B$2:$B$1561,"&gt;"&amp;B1174)+1</f>
        <v>128</v>
      </c>
      <c r="F1174" s="16" t="n">
        <f aca="false">IF(A1174=A1173,C1174-C1173,"")</f>
        <v>-9.74000000000024</v>
      </c>
      <c r="G1174" s="16" t="n">
        <f aca="false">IF(A1174=A1173,IF(F1174&gt;0,F1174,0),"")</f>
        <v>0</v>
      </c>
      <c r="H1174" s="16" t="n">
        <f aca="false">IF(A1174=A1173,IF(F1174&lt;0,-F1174,0),"")</f>
        <v>9.74000000000024</v>
      </c>
    </row>
    <row r="1175" customFormat="false" ht="15" hidden="false" customHeight="false" outlineLevel="0" collapsed="false">
      <c r="A1175" s="14" t="s">
        <v>102</v>
      </c>
      <c r="B1175" s="15" t="n">
        <v>46059</v>
      </c>
      <c r="C1175" s="14" t="n">
        <v>2295.42</v>
      </c>
      <c r="D1175" s="14" t="n">
        <v>502172</v>
      </c>
      <c r="E1175" s="16" t="n">
        <f aca="false">COUNTIFS($A$2:$A$1561,A1175,$B$2:$B$1561,"&gt;"&amp;B1175)+1</f>
        <v>127</v>
      </c>
      <c r="F1175" s="16" t="n">
        <f aca="false">IF(A1175=A1174,C1175-C1174,"")</f>
        <v>9.61000000000013</v>
      </c>
      <c r="G1175" s="16" t="n">
        <f aca="false">IF(A1175=A1174,IF(F1175&gt;0,F1175,0),"")</f>
        <v>9.61000000000013</v>
      </c>
      <c r="H1175" s="16" t="n">
        <f aca="false">IF(A1175=A1174,IF(F1175&lt;0,-F1175,0),"")</f>
        <v>0</v>
      </c>
    </row>
    <row r="1176" customFormat="false" ht="15" hidden="false" customHeight="false" outlineLevel="0" collapsed="false">
      <c r="A1176" s="14" t="s">
        <v>102</v>
      </c>
      <c r="B1176" s="15" t="n">
        <v>46062</v>
      </c>
      <c r="C1176" s="14" t="n">
        <v>2295.71</v>
      </c>
      <c r="D1176" s="14" t="n">
        <v>765399</v>
      </c>
      <c r="E1176" s="16" t="n">
        <f aca="false">COUNTIFS($A$2:$A$1561,A1176,$B$2:$B$1561,"&gt;"&amp;B1176)+1</f>
        <v>126</v>
      </c>
      <c r="F1176" s="16" t="n">
        <f aca="false">IF(A1176=A1175,C1176-C1175,"")</f>
        <v>0.289999999999964</v>
      </c>
      <c r="G1176" s="16" t="n">
        <f aca="false">IF(A1176=A1175,IF(F1176&gt;0,F1176,0),"")</f>
        <v>0.289999999999964</v>
      </c>
      <c r="H1176" s="16" t="n">
        <f aca="false">IF(A1176=A1175,IF(F1176&lt;0,-F1176,0),"")</f>
        <v>0</v>
      </c>
    </row>
    <row r="1177" customFormat="false" ht="15" hidden="false" customHeight="false" outlineLevel="0" collapsed="false">
      <c r="A1177" s="14" t="s">
        <v>102</v>
      </c>
      <c r="B1177" s="15" t="n">
        <v>46063</v>
      </c>
      <c r="C1177" s="14" t="n">
        <v>2285.63</v>
      </c>
      <c r="D1177" s="14" t="n">
        <v>1859965</v>
      </c>
      <c r="E1177" s="16" t="n">
        <f aca="false">COUNTIFS($A$2:$A$1561,A1177,$B$2:$B$1561,"&gt;"&amp;B1177)+1</f>
        <v>125</v>
      </c>
      <c r="F1177" s="16" t="n">
        <f aca="false">IF(A1177=A1176,C1177-C1176,"")</f>
        <v>-10.0799999999999</v>
      </c>
      <c r="G1177" s="16" t="n">
        <f aca="false">IF(A1177=A1176,IF(F1177&gt;0,F1177,0),"")</f>
        <v>0</v>
      </c>
      <c r="H1177" s="16" t="n">
        <f aca="false">IF(A1177=A1176,IF(F1177&lt;0,-F1177,0),"")</f>
        <v>10.0799999999999</v>
      </c>
    </row>
    <row r="1178" customFormat="false" ht="15" hidden="false" customHeight="false" outlineLevel="0" collapsed="false">
      <c r="A1178" s="14" t="s">
        <v>102</v>
      </c>
      <c r="B1178" s="15" t="n">
        <v>46064</v>
      </c>
      <c r="C1178" s="14" t="n">
        <v>2266.68</v>
      </c>
      <c r="D1178" s="14" t="n">
        <v>1891194</v>
      </c>
      <c r="E1178" s="16" t="n">
        <f aca="false">COUNTIFS($A$2:$A$1561,A1178,$B$2:$B$1561,"&gt;"&amp;B1178)+1</f>
        <v>124</v>
      </c>
      <c r="F1178" s="16" t="n">
        <f aca="false">IF(A1178=A1177,C1178-C1177,"")</f>
        <v>-18.9500000000003</v>
      </c>
      <c r="G1178" s="16" t="n">
        <f aca="false">IF(A1178=A1177,IF(F1178&gt;0,F1178,0),"")</f>
        <v>0</v>
      </c>
      <c r="H1178" s="16" t="n">
        <f aca="false">IF(A1178=A1177,IF(F1178&lt;0,-F1178,0),"")</f>
        <v>18.9500000000003</v>
      </c>
    </row>
    <row r="1179" customFormat="false" ht="15" hidden="false" customHeight="false" outlineLevel="0" collapsed="false">
      <c r="A1179" s="14" t="s">
        <v>102</v>
      </c>
      <c r="B1179" s="15" t="n">
        <v>46065</v>
      </c>
      <c r="C1179" s="14" t="n">
        <v>2280.84</v>
      </c>
      <c r="D1179" s="14" t="n">
        <v>2476309</v>
      </c>
      <c r="E1179" s="16" t="n">
        <f aca="false">COUNTIFS($A$2:$A$1561,A1179,$B$2:$B$1561,"&gt;"&amp;B1179)+1</f>
        <v>123</v>
      </c>
      <c r="F1179" s="16" t="n">
        <f aca="false">IF(A1179=A1178,C1179-C1178,"")</f>
        <v>14.1600000000003</v>
      </c>
      <c r="G1179" s="16" t="n">
        <f aca="false">IF(A1179=A1178,IF(F1179&gt;0,F1179,0),"")</f>
        <v>14.1600000000003</v>
      </c>
      <c r="H1179" s="16" t="n">
        <f aca="false">IF(A1179=A1178,IF(F1179&lt;0,-F1179,0),"")</f>
        <v>0</v>
      </c>
    </row>
    <row r="1180" customFormat="false" ht="15" hidden="false" customHeight="false" outlineLevel="0" collapsed="false">
      <c r="A1180" s="14" t="s">
        <v>102</v>
      </c>
      <c r="B1180" s="15" t="n">
        <v>46066</v>
      </c>
      <c r="C1180" s="14" t="n">
        <v>2278.88</v>
      </c>
      <c r="D1180" s="14" t="n">
        <v>764350</v>
      </c>
      <c r="E1180" s="16" t="n">
        <f aca="false">COUNTIFS($A$2:$A$1561,A1180,$B$2:$B$1561,"&gt;"&amp;B1180)+1</f>
        <v>122</v>
      </c>
      <c r="F1180" s="16" t="n">
        <f aca="false">IF(A1180=A1179,C1180-C1179,"")</f>
        <v>-1.96000000000004</v>
      </c>
      <c r="G1180" s="16" t="n">
        <f aca="false">IF(A1180=A1179,IF(F1180&gt;0,F1180,0),"")</f>
        <v>0</v>
      </c>
      <c r="H1180" s="16" t="n">
        <f aca="false">IF(A1180=A1179,IF(F1180&lt;0,-F1180,0),"")</f>
        <v>1.96000000000004</v>
      </c>
    </row>
    <row r="1181" customFormat="false" ht="15" hidden="false" customHeight="false" outlineLevel="0" collapsed="false">
      <c r="A1181" s="14" t="s">
        <v>102</v>
      </c>
      <c r="B1181" s="15" t="n">
        <v>46069</v>
      </c>
      <c r="C1181" s="14" t="n">
        <v>2262.51</v>
      </c>
      <c r="D1181" s="14" t="n">
        <v>1266139</v>
      </c>
      <c r="E1181" s="16" t="n">
        <f aca="false">COUNTIFS($A$2:$A$1561,A1181,$B$2:$B$1561,"&gt;"&amp;B1181)+1</f>
        <v>121</v>
      </c>
      <c r="F1181" s="16" t="n">
        <f aca="false">IF(A1181=A1180,C1181-C1180,"")</f>
        <v>-16.3699999999999</v>
      </c>
      <c r="G1181" s="16" t="n">
        <f aca="false">IF(A1181=A1180,IF(F1181&gt;0,F1181,0),"")</f>
        <v>0</v>
      </c>
      <c r="H1181" s="16" t="n">
        <f aca="false">IF(A1181=A1180,IF(F1181&lt;0,-F1181,0),"")</f>
        <v>16.3699999999999</v>
      </c>
    </row>
    <row r="1182" customFormat="false" ht="15" hidden="false" customHeight="false" outlineLevel="0" collapsed="false">
      <c r="A1182" s="14" t="s">
        <v>102</v>
      </c>
      <c r="B1182" s="15" t="n">
        <v>46070</v>
      </c>
      <c r="C1182" s="14" t="n">
        <v>2273.13</v>
      </c>
      <c r="D1182" s="14" t="n">
        <v>704854</v>
      </c>
      <c r="E1182" s="16" t="n">
        <f aca="false">COUNTIFS($A$2:$A$1561,A1182,$B$2:$B$1561,"&gt;"&amp;B1182)+1</f>
        <v>120</v>
      </c>
      <c r="F1182" s="16" t="n">
        <f aca="false">IF(A1182=A1181,C1182-C1181,"")</f>
        <v>10.6199999999999</v>
      </c>
      <c r="G1182" s="16" t="n">
        <f aca="false">IF(A1182=A1181,IF(F1182&gt;0,F1182,0),"")</f>
        <v>10.6199999999999</v>
      </c>
      <c r="H1182" s="16" t="n">
        <f aca="false">IF(A1182=A1181,IF(F1182&lt;0,-F1182,0),"")</f>
        <v>0</v>
      </c>
    </row>
    <row r="1183" customFormat="false" ht="15" hidden="false" customHeight="false" outlineLevel="0" collapsed="false">
      <c r="A1183" s="14" t="s">
        <v>102</v>
      </c>
      <c r="B1183" s="15" t="n">
        <v>46071</v>
      </c>
      <c r="C1183" s="14" t="n">
        <v>2266.72</v>
      </c>
      <c r="D1183" s="14" t="n">
        <v>2261977</v>
      </c>
      <c r="E1183" s="16" t="n">
        <f aca="false">COUNTIFS($A$2:$A$1561,A1183,$B$2:$B$1561,"&gt;"&amp;B1183)+1</f>
        <v>119</v>
      </c>
      <c r="F1183" s="16" t="n">
        <f aca="false">IF(A1183=A1182,C1183-C1182,"")</f>
        <v>-6.41000000000031</v>
      </c>
      <c r="G1183" s="16" t="n">
        <f aca="false">IF(A1183=A1182,IF(F1183&gt;0,F1183,0),"")</f>
        <v>0</v>
      </c>
      <c r="H1183" s="16" t="n">
        <f aca="false">IF(A1183=A1182,IF(F1183&lt;0,-F1183,0),"")</f>
        <v>6.41000000000031</v>
      </c>
    </row>
    <row r="1184" customFormat="false" ht="15" hidden="false" customHeight="false" outlineLevel="0" collapsed="false">
      <c r="A1184" s="14" t="s">
        <v>102</v>
      </c>
      <c r="B1184" s="15" t="n">
        <v>46072</v>
      </c>
      <c r="C1184" s="14" t="n">
        <v>2253.14</v>
      </c>
      <c r="D1184" s="14" t="n">
        <v>2046920</v>
      </c>
      <c r="E1184" s="16" t="n">
        <f aca="false">COUNTIFS($A$2:$A$1561,A1184,$B$2:$B$1561,"&gt;"&amp;B1184)+1</f>
        <v>118</v>
      </c>
      <c r="F1184" s="16" t="n">
        <f aca="false">IF(A1184=A1183,C1184-C1183,"")</f>
        <v>-13.5799999999999</v>
      </c>
      <c r="G1184" s="16" t="n">
        <f aca="false">IF(A1184=A1183,IF(F1184&gt;0,F1184,0),"")</f>
        <v>0</v>
      </c>
      <c r="H1184" s="16" t="n">
        <f aca="false">IF(A1184=A1183,IF(F1184&lt;0,-F1184,0),"")</f>
        <v>13.5799999999999</v>
      </c>
    </row>
    <row r="1185" customFormat="false" ht="15" hidden="false" customHeight="false" outlineLevel="0" collapsed="false">
      <c r="A1185" s="14" t="s">
        <v>102</v>
      </c>
      <c r="B1185" s="15" t="n">
        <v>46073</v>
      </c>
      <c r="C1185" s="14" t="n">
        <v>2264.62</v>
      </c>
      <c r="D1185" s="14" t="n">
        <v>766292</v>
      </c>
      <c r="E1185" s="16" t="n">
        <f aca="false">COUNTIFS($A$2:$A$1561,A1185,$B$2:$B$1561,"&gt;"&amp;B1185)+1</f>
        <v>117</v>
      </c>
      <c r="F1185" s="16" t="n">
        <f aca="false">IF(A1185=A1184,C1185-C1184,"")</f>
        <v>11.48</v>
      </c>
      <c r="G1185" s="16" t="n">
        <f aca="false">IF(A1185=A1184,IF(F1185&gt;0,F1185,0),"")</f>
        <v>11.48</v>
      </c>
      <c r="H1185" s="16" t="n">
        <f aca="false">IF(A1185=A1184,IF(F1185&lt;0,-F1185,0),"")</f>
        <v>0</v>
      </c>
    </row>
    <row r="1186" customFormat="false" ht="15" hidden="false" customHeight="false" outlineLevel="0" collapsed="false">
      <c r="A1186" s="14" t="s">
        <v>102</v>
      </c>
      <c r="B1186" s="15" t="n">
        <v>46076</v>
      </c>
      <c r="C1186" s="14" t="n">
        <v>2285.94</v>
      </c>
      <c r="D1186" s="14" t="n">
        <v>785706</v>
      </c>
      <c r="E1186" s="16" t="n">
        <f aca="false">COUNTIFS($A$2:$A$1561,A1186,$B$2:$B$1561,"&gt;"&amp;B1186)+1</f>
        <v>116</v>
      </c>
      <c r="F1186" s="16" t="n">
        <f aca="false">IF(A1186=A1185,C1186-C1185,"")</f>
        <v>21.3200000000002</v>
      </c>
      <c r="G1186" s="16" t="n">
        <f aca="false">IF(A1186=A1185,IF(F1186&gt;0,F1186,0),"")</f>
        <v>21.3200000000002</v>
      </c>
      <c r="H1186" s="16" t="n">
        <f aca="false">IF(A1186=A1185,IF(F1186&lt;0,-F1186,0),"")</f>
        <v>0</v>
      </c>
    </row>
    <row r="1187" customFormat="false" ht="15" hidden="false" customHeight="false" outlineLevel="0" collapsed="false">
      <c r="A1187" s="14" t="s">
        <v>102</v>
      </c>
      <c r="B1187" s="15" t="n">
        <v>46077</v>
      </c>
      <c r="C1187" s="14" t="n">
        <v>2288.43</v>
      </c>
      <c r="D1187" s="14" t="n">
        <v>516949</v>
      </c>
      <c r="E1187" s="16" t="n">
        <f aca="false">COUNTIFS($A$2:$A$1561,A1187,$B$2:$B$1561,"&gt;"&amp;B1187)+1</f>
        <v>115</v>
      </c>
      <c r="F1187" s="16" t="n">
        <f aca="false">IF(A1187=A1186,C1187-C1186,"")</f>
        <v>2.48999999999978</v>
      </c>
      <c r="G1187" s="16" t="n">
        <f aca="false">IF(A1187=A1186,IF(F1187&gt;0,F1187,0),"")</f>
        <v>2.48999999999978</v>
      </c>
      <c r="H1187" s="16" t="n">
        <f aca="false">IF(A1187=A1186,IF(F1187&lt;0,-F1187,0),"")</f>
        <v>0</v>
      </c>
    </row>
    <row r="1188" customFormat="false" ht="15" hidden="false" customHeight="false" outlineLevel="0" collapsed="false">
      <c r="A1188" s="14" t="s">
        <v>102</v>
      </c>
      <c r="B1188" s="15" t="n">
        <v>46078</v>
      </c>
      <c r="C1188" s="14" t="n">
        <v>2295.84</v>
      </c>
      <c r="D1188" s="14" t="n">
        <v>1380198</v>
      </c>
      <c r="E1188" s="16" t="n">
        <f aca="false">COUNTIFS($A$2:$A$1561,A1188,$B$2:$B$1561,"&gt;"&amp;B1188)+1</f>
        <v>114</v>
      </c>
      <c r="F1188" s="16" t="n">
        <f aca="false">IF(A1188=A1187,C1188-C1187,"")</f>
        <v>7.41000000000031</v>
      </c>
      <c r="G1188" s="16" t="n">
        <f aca="false">IF(A1188=A1187,IF(F1188&gt;0,F1188,0),"")</f>
        <v>7.41000000000031</v>
      </c>
      <c r="H1188" s="16" t="n">
        <f aca="false">IF(A1188=A1187,IF(F1188&lt;0,-F1188,0),"")</f>
        <v>0</v>
      </c>
    </row>
    <row r="1189" customFormat="false" ht="15" hidden="false" customHeight="false" outlineLevel="0" collapsed="false">
      <c r="A1189" s="14" t="s">
        <v>102</v>
      </c>
      <c r="B1189" s="15" t="n">
        <v>46079</v>
      </c>
      <c r="C1189" s="14" t="n">
        <v>2306.27</v>
      </c>
      <c r="D1189" s="14" t="n">
        <v>1756160</v>
      </c>
      <c r="E1189" s="16" t="n">
        <f aca="false">COUNTIFS($A$2:$A$1561,A1189,$B$2:$B$1561,"&gt;"&amp;B1189)+1</f>
        <v>113</v>
      </c>
      <c r="F1189" s="16" t="n">
        <f aca="false">IF(A1189=A1188,C1189-C1188,"")</f>
        <v>10.4299999999998</v>
      </c>
      <c r="G1189" s="16" t="n">
        <f aca="false">IF(A1189=A1188,IF(F1189&gt;0,F1189,0),"")</f>
        <v>10.4299999999998</v>
      </c>
      <c r="H1189" s="16" t="n">
        <f aca="false">IF(A1189=A1188,IF(F1189&lt;0,-F1189,0),"")</f>
        <v>0</v>
      </c>
    </row>
    <row r="1190" customFormat="false" ht="15" hidden="false" customHeight="false" outlineLevel="0" collapsed="false">
      <c r="A1190" s="14" t="s">
        <v>102</v>
      </c>
      <c r="B1190" s="15" t="n">
        <v>46080</v>
      </c>
      <c r="C1190" s="14" t="n">
        <v>2293.05</v>
      </c>
      <c r="D1190" s="14" t="n">
        <v>1323419</v>
      </c>
      <c r="E1190" s="16" t="n">
        <f aca="false">COUNTIFS($A$2:$A$1561,A1190,$B$2:$B$1561,"&gt;"&amp;B1190)+1</f>
        <v>112</v>
      </c>
      <c r="F1190" s="16" t="n">
        <f aca="false">IF(A1190=A1189,C1190-C1189,"")</f>
        <v>-13.2199999999998</v>
      </c>
      <c r="G1190" s="16" t="n">
        <f aca="false">IF(A1190=A1189,IF(F1190&gt;0,F1190,0),"")</f>
        <v>0</v>
      </c>
      <c r="H1190" s="16" t="n">
        <f aca="false">IF(A1190=A1189,IF(F1190&lt;0,-F1190,0),"")</f>
        <v>13.2199999999998</v>
      </c>
    </row>
    <row r="1191" customFormat="false" ht="15" hidden="false" customHeight="false" outlineLevel="0" collapsed="false">
      <c r="A1191" s="14" t="s">
        <v>102</v>
      </c>
      <c r="B1191" s="15" t="n">
        <v>46083</v>
      </c>
      <c r="C1191" s="14" t="n">
        <v>2301.98</v>
      </c>
      <c r="D1191" s="14" t="n">
        <v>2219925</v>
      </c>
      <c r="E1191" s="16" t="n">
        <f aca="false">COUNTIFS($A$2:$A$1561,A1191,$B$2:$B$1561,"&gt;"&amp;B1191)+1</f>
        <v>111</v>
      </c>
      <c r="F1191" s="16" t="n">
        <f aca="false">IF(A1191=A1190,C1191-C1190,"")</f>
        <v>8.92999999999984</v>
      </c>
      <c r="G1191" s="16" t="n">
        <f aca="false">IF(A1191=A1190,IF(F1191&gt;0,F1191,0),"")</f>
        <v>8.92999999999984</v>
      </c>
      <c r="H1191" s="16" t="n">
        <f aca="false">IF(A1191=A1190,IF(F1191&lt;0,-F1191,0),"")</f>
        <v>0</v>
      </c>
    </row>
    <row r="1192" customFormat="false" ht="15" hidden="false" customHeight="false" outlineLevel="0" collapsed="false">
      <c r="A1192" s="14" t="s">
        <v>102</v>
      </c>
      <c r="B1192" s="15" t="n">
        <v>46084</v>
      </c>
      <c r="C1192" s="14" t="n">
        <v>2286.1</v>
      </c>
      <c r="D1192" s="14" t="n">
        <v>700930</v>
      </c>
      <c r="E1192" s="16" t="n">
        <f aca="false">COUNTIFS($A$2:$A$1561,A1192,$B$2:$B$1561,"&gt;"&amp;B1192)+1</f>
        <v>110</v>
      </c>
      <c r="F1192" s="16" t="n">
        <f aca="false">IF(A1192=A1191,C1192-C1191,"")</f>
        <v>-15.8800000000001</v>
      </c>
      <c r="G1192" s="16" t="n">
        <f aca="false">IF(A1192=A1191,IF(F1192&gt;0,F1192,0),"")</f>
        <v>0</v>
      </c>
      <c r="H1192" s="16" t="n">
        <f aca="false">IF(A1192=A1191,IF(F1192&lt;0,-F1192,0),"")</f>
        <v>15.8800000000001</v>
      </c>
    </row>
    <row r="1193" customFormat="false" ht="15" hidden="false" customHeight="false" outlineLevel="0" collapsed="false">
      <c r="A1193" s="14" t="s">
        <v>102</v>
      </c>
      <c r="B1193" s="15" t="n">
        <v>46085</v>
      </c>
      <c r="C1193" s="14" t="n">
        <v>2297.72</v>
      </c>
      <c r="D1193" s="14" t="n">
        <v>1679147</v>
      </c>
      <c r="E1193" s="16" t="n">
        <f aca="false">COUNTIFS($A$2:$A$1561,A1193,$B$2:$B$1561,"&gt;"&amp;B1193)+1</f>
        <v>109</v>
      </c>
      <c r="F1193" s="16" t="n">
        <f aca="false">IF(A1193=A1192,C1193-C1192,"")</f>
        <v>11.6199999999999</v>
      </c>
      <c r="G1193" s="16" t="n">
        <f aca="false">IF(A1193=A1192,IF(F1193&gt;0,F1193,0),"")</f>
        <v>11.6199999999999</v>
      </c>
      <c r="H1193" s="16" t="n">
        <f aca="false">IF(A1193=A1192,IF(F1193&lt;0,-F1193,0),"")</f>
        <v>0</v>
      </c>
    </row>
    <row r="1194" customFormat="false" ht="15" hidden="false" customHeight="false" outlineLevel="0" collapsed="false">
      <c r="A1194" s="14" t="s">
        <v>102</v>
      </c>
      <c r="B1194" s="15" t="n">
        <v>46086</v>
      </c>
      <c r="C1194" s="14" t="n">
        <v>2294.17</v>
      </c>
      <c r="D1194" s="14" t="n">
        <v>2426497</v>
      </c>
      <c r="E1194" s="16" t="n">
        <f aca="false">COUNTIFS($A$2:$A$1561,A1194,$B$2:$B$1561,"&gt;"&amp;B1194)+1</f>
        <v>108</v>
      </c>
      <c r="F1194" s="16" t="n">
        <f aca="false">IF(A1194=A1193,C1194-C1193,"")</f>
        <v>-3.54999999999973</v>
      </c>
      <c r="G1194" s="16" t="n">
        <f aca="false">IF(A1194=A1193,IF(F1194&gt;0,F1194,0),"")</f>
        <v>0</v>
      </c>
      <c r="H1194" s="16" t="n">
        <f aca="false">IF(A1194=A1193,IF(F1194&lt;0,-F1194,0),"")</f>
        <v>3.54999999999973</v>
      </c>
    </row>
    <row r="1195" customFormat="false" ht="15" hidden="false" customHeight="false" outlineLevel="0" collapsed="false">
      <c r="A1195" s="14" t="s">
        <v>102</v>
      </c>
      <c r="B1195" s="15" t="n">
        <v>46087</v>
      </c>
      <c r="C1195" s="14" t="n">
        <v>2287.75</v>
      </c>
      <c r="D1195" s="14" t="n">
        <v>779660</v>
      </c>
      <c r="E1195" s="16" t="n">
        <f aca="false">COUNTIFS($A$2:$A$1561,A1195,$B$2:$B$1561,"&gt;"&amp;B1195)+1</f>
        <v>107</v>
      </c>
      <c r="F1195" s="16" t="n">
        <f aca="false">IF(A1195=A1194,C1195-C1194,"")</f>
        <v>-6.42000000000007</v>
      </c>
      <c r="G1195" s="16" t="n">
        <f aca="false">IF(A1195=A1194,IF(F1195&gt;0,F1195,0),"")</f>
        <v>0</v>
      </c>
      <c r="H1195" s="16" t="n">
        <f aca="false">IF(A1195=A1194,IF(F1195&lt;0,-F1195,0),"")</f>
        <v>6.42000000000007</v>
      </c>
    </row>
    <row r="1196" customFormat="false" ht="15" hidden="false" customHeight="false" outlineLevel="0" collapsed="false">
      <c r="A1196" s="14" t="s">
        <v>102</v>
      </c>
      <c r="B1196" s="15" t="n">
        <v>46090</v>
      </c>
      <c r="C1196" s="14" t="n">
        <v>2279.8</v>
      </c>
      <c r="D1196" s="14" t="n">
        <v>668497</v>
      </c>
      <c r="E1196" s="16" t="n">
        <f aca="false">COUNTIFS($A$2:$A$1561,A1196,$B$2:$B$1561,"&gt;"&amp;B1196)+1</f>
        <v>106</v>
      </c>
      <c r="F1196" s="16" t="n">
        <f aca="false">IF(A1196=A1195,C1196-C1195,"")</f>
        <v>-7.94999999999982</v>
      </c>
      <c r="G1196" s="16" t="n">
        <f aca="false">IF(A1196=A1195,IF(F1196&gt;0,F1196,0),"")</f>
        <v>0</v>
      </c>
      <c r="H1196" s="16" t="n">
        <f aca="false">IF(A1196=A1195,IF(F1196&lt;0,-F1196,0),"")</f>
        <v>7.94999999999982</v>
      </c>
    </row>
    <row r="1197" customFormat="false" ht="15" hidden="false" customHeight="false" outlineLevel="0" collapsed="false">
      <c r="A1197" s="14" t="s">
        <v>102</v>
      </c>
      <c r="B1197" s="15" t="n">
        <v>46091</v>
      </c>
      <c r="C1197" s="14" t="n">
        <v>2283.22</v>
      </c>
      <c r="D1197" s="14" t="n">
        <v>1700015</v>
      </c>
      <c r="E1197" s="16" t="n">
        <f aca="false">COUNTIFS($A$2:$A$1561,A1197,$B$2:$B$1561,"&gt;"&amp;B1197)+1</f>
        <v>105</v>
      </c>
      <c r="F1197" s="16" t="n">
        <f aca="false">IF(A1197=A1196,C1197-C1196,"")</f>
        <v>3.41999999999962</v>
      </c>
      <c r="G1197" s="16" t="n">
        <f aca="false">IF(A1197=A1196,IF(F1197&gt;0,F1197,0),"")</f>
        <v>3.41999999999962</v>
      </c>
      <c r="H1197" s="16" t="n">
        <f aca="false">IF(A1197=A1196,IF(F1197&lt;0,-F1197,0),"")</f>
        <v>0</v>
      </c>
    </row>
    <row r="1198" customFormat="false" ht="15" hidden="false" customHeight="false" outlineLevel="0" collapsed="false">
      <c r="A1198" s="14" t="s">
        <v>102</v>
      </c>
      <c r="B1198" s="15" t="n">
        <v>46092</v>
      </c>
      <c r="C1198" s="14" t="n">
        <v>2288.88</v>
      </c>
      <c r="D1198" s="14" t="n">
        <v>2057939</v>
      </c>
      <c r="E1198" s="16" t="n">
        <f aca="false">COUNTIFS($A$2:$A$1561,A1198,$B$2:$B$1561,"&gt;"&amp;B1198)+1</f>
        <v>104</v>
      </c>
      <c r="F1198" s="16" t="n">
        <f aca="false">IF(A1198=A1197,C1198-C1197,"")</f>
        <v>5.66000000000031</v>
      </c>
      <c r="G1198" s="16" t="n">
        <f aca="false">IF(A1198=A1197,IF(F1198&gt;0,F1198,0),"")</f>
        <v>5.66000000000031</v>
      </c>
      <c r="H1198" s="16" t="n">
        <f aca="false">IF(A1198=A1197,IF(F1198&lt;0,-F1198,0),"")</f>
        <v>0</v>
      </c>
    </row>
    <row r="1199" customFormat="false" ht="15" hidden="false" customHeight="false" outlineLevel="0" collapsed="false">
      <c r="A1199" s="14" t="s">
        <v>102</v>
      </c>
      <c r="B1199" s="15" t="n">
        <v>46093</v>
      </c>
      <c r="C1199" s="14" t="n">
        <v>2297.96</v>
      </c>
      <c r="D1199" s="14" t="n">
        <v>2195784</v>
      </c>
      <c r="E1199" s="16" t="n">
        <f aca="false">COUNTIFS($A$2:$A$1561,A1199,$B$2:$B$1561,"&gt;"&amp;B1199)+1</f>
        <v>103</v>
      </c>
      <c r="F1199" s="16" t="n">
        <f aca="false">IF(A1199=A1198,C1199-C1198,"")</f>
        <v>9.07999999999993</v>
      </c>
      <c r="G1199" s="16" t="n">
        <f aca="false">IF(A1199=A1198,IF(F1199&gt;0,F1199,0),"")</f>
        <v>9.07999999999993</v>
      </c>
      <c r="H1199" s="16" t="n">
        <f aca="false">IF(A1199=A1198,IF(F1199&lt;0,-F1199,0),"")</f>
        <v>0</v>
      </c>
    </row>
    <row r="1200" customFormat="false" ht="15" hidden="false" customHeight="false" outlineLevel="0" collapsed="false">
      <c r="A1200" s="14" t="s">
        <v>102</v>
      </c>
      <c r="B1200" s="15" t="n">
        <v>46094</v>
      </c>
      <c r="C1200" s="14" t="n">
        <v>2305.75</v>
      </c>
      <c r="D1200" s="14" t="n">
        <v>1103298</v>
      </c>
      <c r="E1200" s="16" t="n">
        <f aca="false">COUNTIFS($A$2:$A$1561,A1200,$B$2:$B$1561,"&gt;"&amp;B1200)+1</f>
        <v>102</v>
      </c>
      <c r="F1200" s="16" t="n">
        <f aca="false">IF(A1200=A1199,C1200-C1199,"")</f>
        <v>7.78999999999996</v>
      </c>
      <c r="G1200" s="16" t="n">
        <f aca="false">IF(A1200=A1199,IF(F1200&gt;0,F1200,0),"")</f>
        <v>7.78999999999996</v>
      </c>
      <c r="H1200" s="16" t="n">
        <f aca="false">IF(A1200=A1199,IF(F1200&lt;0,-F1200,0),"")</f>
        <v>0</v>
      </c>
    </row>
    <row r="1201" customFormat="false" ht="15" hidden="false" customHeight="false" outlineLevel="0" collapsed="false">
      <c r="A1201" s="14" t="s">
        <v>102</v>
      </c>
      <c r="B1201" s="15" t="n">
        <v>46097</v>
      </c>
      <c r="C1201" s="14" t="n">
        <v>2307.73</v>
      </c>
      <c r="D1201" s="14" t="n">
        <v>1519045</v>
      </c>
      <c r="E1201" s="16" t="n">
        <f aca="false">COUNTIFS($A$2:$A$1561,A1201,$B$2:$B$1561,"&gt;"&amp;B1201)+1</f>
        <v>101</v>
      </c>
      <c r="F1201" s="16" t="n">
        <f aca="false">IF(A1201=A1200,C1201-C1200,"")</f>
        <v>1.98000000000002</v>
      </c>
      <c r="G1201" s="16" t="n">
        <f aca="false">IF(A1201=A1200,IF(F1201&gt;0,F1201,0),"")</f>
        <v>1.98000000000002</v>
      </c>
      <c r="H1201" s="16" t="n">
        <f aca="false">IF(A1201=A1200,IF(F1201&lt;0,-F1201,0),"")</f>
        <v>0</v>
      </c>
    </row>
    <row r="1202" customFormat="false" ht="15" hidden="false" customHeight="false" outlineLevel="0" collapsed="false">
      <c r="A1202" s="14" t="s">
        <v>102</v>
      </c>
      <c r="B1202" s="15" t="n">
        <v>46098</v>
      </c>
      <c r="C1202" s="14" t="n">
        <v>2319.28</v>
      </c>
      <c r="D1202" s="14" t="n">
        <v>1091084</v>
      </c>
      <c r="E1202" s="16" t="n">
        <f aca="false">COUNTIFS($A$2:$A$1561,A1202,$B$2:$B$1561,"&gt;"&amp;B1202)+1</f>
        <v>100</v>
      </c>
      <c r="F1202" s="16" t="n">
        <f aca="false">IF(A1202=A1201,C1202-C1201,"")</f>
        <v>11.5500000000002</v>
      </c>
      <c r="G1202" s="16" t="n">
        <f aca="false">IF(A1202=A1201,IF(F1202&gt;0,F1202,0),"")</f>
        <v>11.5500000000002</v>
      </c>
      <c r="H1202" s="16" t="n">
        <f aca="false">IF(A1202=A1201,IF(F1202&lt;0,-F1202,0),"")</f>
        <v>0</v>
      </c>
    </row>
    <row r="1203" customFormat="false" ht="15" hidden="false" customHeight="false" outlineLevel="0" collapsed="false">
      <c r="A1203" s="14" t="s">
        <v>102</v>
      </c>
      <c r="B1203" s="15" t="n">
        <v>46099</v>
      </c>
      <c r="C1203" s="14" t="n">
        <v>2301.93</v>
      </c>
      <c r="D1203" s="14" t="n">
        <v>2295825</v>
      </c>
      <c r="E1203" s="16" t="n">
        <f aca="false">COUNTIFS($A$2:$A$1561,A1203,$B$2:$B$1561,"&gt;"&amp;B1203)+1</f>
        <v>99</v>
      </c>
      <c r="F1203" s="16" t="n">
        <f aca="false">IF(A1203=A1202,C1203-C1202,"")</f>
        <v>-17.3500000000004</v>
      </c>
      <c r="G1203" s="16" t="n">
        <f aca="false">IF(A1203=A1202,IF(F1203&gt;0,F1203,0),"")</f>
        <v>0</v>
      </c>
      <c r="H1203" s="16" t="n">
        <f aca="false">IF(A1203=A1202,IF(F1203&lt;0,-F1203,0),"")</f>
        <v>17.3500000000004</v>
      </c>
    </row>
    <row r="1204" customFormat="false" ht="15" hidden="false" customHeight="false" outlineLevel="0" collapsed="false">
      <c r="A1204" s="14" t="s">
        <v>102</v>
      </c>
      <c r="B1204" s="15" t="n">
        <v>46100</v>
      </c>
      <c r="C1204" s="14" t="n">
        <v>2322.02</v>
      </c>
      <c r="D1204" s="14" t="n">
        <v>1489775</v>
      </c>
      <c r="E1204" s="16" t="n">
        <f aca="false">COUNTIFS($A$2:$A$1561,A1204,$B$2:$B$1561,"&gt;"&amp;B1204)+1</f>
        <v>98</v>
      </c>
      <c r="F1204" s="16" t="n">
        <f aca="false">IF(A1204=A1203,C1204-C1203,"")</f>
        <v>20.0900000000001</v>
      </c>
      <c r="G1204" s="16" t="n">
        <f aca="false">IF(A1204=A1203,IF(F1204&gt;0,F1204,0),"")</f>
        <v>20.0900000000001</v>
      </c>
      <c r="H1204" s="16" t="n">
        <f aca="false">IF(A1204=A1203,IF(F1204&lt;0,-F1204,0),"")</f>
        <v>0</v>
      </c>
    </row>
    <row r="1205" customFormat="false" ht="15" hidden="false" customHeight="false" outlineLevel="0" collapsed="false">
      <c r="A1205" s="14" t="s">
        <v>102</v>
      </c>
      <c r="B1205" s="15" t="n">
        <v>46101</v>
      </c>
      <c r="C1205" s="14" t="n">
        <v>2307.08</v>
      </c>
      <c r="D1205" s="14" t="n">
        <v>1499165</v>
      </c>
      <c r="E1205" s="16" t="n">
        <f aca="false">COUNTIFS($A$2:$A$1561,A1205,$B$2:$B$1561,"&gt;"&amp;B1205)+1</f>
        <v>97</v>
      </c>
      <c r="F1205" s="16" t="n">
        <f aca="false">IF(A1205=A1204,C1205-C1204,"")</f>
        <v>-14.9400000000001</v>
      </c>
      <c r="G1205" s="16" t="n">
        <f aca="false">IF(A1205=A1204,IF(F1205&gt;0,F1205,0),"")</f>
        <v>0</v>
      </c>
      <c r="H1205" s="16" t="n">
        <f aca="false">IF(A1205=A1204,IF(F1205&lt;0,-F1205,0),"")</f>
        <v>14.9400000000001</v>
      </c>
    </row>
    <row r="1206" customFormat="false" ht="15" hidden="false" customHeight="false" outlineLevel="0" collapsed="false">
      <c r="A1206" s="14" t="s">
        <v>102</v>
      </c>
      <c r="B1206" s="15" t="n">
        <v>46104</v>
      </c>
      <c r="C1206" s="14" t="n">
        <v>2312.23</v>
      </c>
      <c r="D1206" s="14" t="n">
        <v>1556573</v>
      </c>
      <c r="E1206" s="16" t="n">
        <f aca="false">COUNTIFS($A$2:$A$1561,A1206,$B$2:$B$1561,"&gt;"&amp;B1206)+1</f>
        <v>96</v>
      </c>
      <c r="F1206" s="16" t="n">
        <f aca="false">IF(A1206=A1205,C1206-C1205,"")</f>
        <v>5.15000000000009</v>
      </c>
      <c r="G1206" s="16" t="n">
        <f aca="false">IF(A1206=A1205,IF(F1206&gt;0,F1206,0),"")</f>
        <v>5.15000000000009</v>
      </c>
      <c r="H1206" s="16" t="n">
        <f aca="false">IF(A1206=A1205,IF(F1206&lt;0,-F1206,0),"")</f>
        <v>0</v>
      </c>
    </row>
    <row r="1207" customFormat="false" ht="15" hidden="false" customHeight="false" outlineLevel="0" collapsed="false">
      <c r="A1207" s="14" t="s">
        <v>102</v>
      </c>
      <c r="B1207" s="15" t="n">
        <v>46105</v>
      </c>
      <c r="C1207" s="14" t="n">
        <v>2333.36</v>
      </c>
      <c r="D1207" s="14" t="n">
        <v>2473765</v>
      </c>
      <c r="E1207" s="16" t="n">
        <f aca="false">COUNTIFS($A$2:$A$1561,A1207,$B$2:$B$1561,"&gt;"&amp;B1207)+1</f>
        <v>95</v>
      </c>
      <c r="F1207" s="16" t="n">
        <f aca="false">IF(A1207=A1206,C1207-C1206,"")</f>
        <v>21.1300000000001</v>
      </c>
      <c r="G1207" s="16" t="n">
        <f aca="false">IF(A1207=A1206,IF(F1207&gt;0,F1207,0),"")</f>
        <v>21.1300000000001</v>
      </c>
      <c r="H1207" s="16" t="n">
        <f aca="false">IF(A1207=A1206,IF(F1207&lt;0,-F1207,0),"")</f>
        <v>0</v>
      </c>
    </row>
    <row r="1208" customFormat="false" ht="15" hidden="false" customHeight="false" outlineLevel="0" collapsed="false">
      <c r="A1208" s="14" t="s">
        <v>102</v>
      </c>
      <c r="B1208" s="15" t="n">
        <v>46106</v>
      </c>
      <c r="C1208" s="14" t="n">
        <v>2352.85</v>
      </c>
      <c r="D1208" s="14" t="n">
        <v>763965</v>
      </c>
      <c r="E1208" s="16" t="n">
        <f aca="false">COUNTIFS($A$2:$A$1561,A1208,$B$2:$B$1561,"&gt;"&amp;B1208)+1</f>
        <v>94</v>
      </c>
      <c r="F1208" s="16" t="n">
        <f aca="false">IF(A1208=A1207,C1208-C1207,"")</f>
        <v>19.4899999999998</v>
      </c>
      <c r="G1208" s="16" t="n">
        <f aca="false">IF(A1208=A1207,IF(F1208&gt;0,F1208,0),"")</f>
        <v>19.4899999999998</v>
      </c>
      <c r="H1208" s="16" t="n">
        <f aca="false">IF(A1208=A1207,IF(F1208&lt;0,-F1208,0),"")</f>
        <v>0</v>
      </c>
    </row>
    <row r="1209" customFormat="false" ht="15" hidden="false" customHeight="false" outlineLevel="0" collapsed="false">
      <c r="A1209" s="14" t="s">
        <v>102</v>
      </c>
      <c r="B1209" s="15" t="n">
        <v>46107</v>
      </c>
      <c r="C1209" s="14" t="n">
        <v>2369.4</v>
      </c>
      <c r="D1209" s="14" t="n">
        <v>1636760</v>
      </c>
      <c r="E1209" s="16" t="n">
        <f aca="false">COUNTIFS($A$2:$A$1561,A1209,$B$2:$B$1561,"&gt;"&amp;B1209)+1</f>
        <v>93</v>
      </c>
      <c r="F1209" s="16" t="n">
        <f aca="false">IF(A1209=A1208,C1209-C1208,"")</f>
        <v>16.5500000000002</v>
      </c>
      <c r="G1209" s="16" t="n">
        <f aca="false">IF(A1209=A1208,IF(F1209&gt;0,F1209,0),"")</f>
        <v>16.5500000000002</v>
      </c>
      <c r="H1209" s="16" t="n">
        <f aca="false">IF(A1209=A1208,IF(F1209&lt;0,-F1209,0),"")</f>
        <v>0</v>
      </c>
    </row>
    <row r="1210" customFormat="false" ht="15" hidden="false" customHeight="false" outlineLevel="0" collapsed="false">
      <c r="A1210" s="14" t="s">
        <v>102</v>
      </c>
      <c r="B1210" s="15" t="n">
        <v>46108</v>
      </c>
      <c r="C1210" s="14" t="n">
        <v>2364.94</v>
      </c>
      <c r="D1210" s="14" t="n">
        <v>1865884</v>
      </c>
      <c r="E1210" s="16" t="n">
        <f aca="false">COUNTIFS($A$2:$A$1561,A1210,$B$2:$B$1561,"&gt;"&amp;B1210)+1</f>
        <v>92</v>
      </c>
      <c r="F1210" s="16" t="n">
        <f aca="false">IF(A1210=A1209,C1210-C1209,"")</f>
        <v>-4.46000000000004</v>
      </c>
      <c r="G1210" s="16" t="n">
        <f aca="false">IF(A1210=A1209,IF(F1210&gt;0,F1210,0),"")</f>
        <v>0</v>
      </c>
      <c r="H1210" s="16" t="n">
        <f aca="false">IF(A1210=A1209,IF(F1210&lt;0,-F1210,0),"")</f>
        <v>4.46000000000004</v>
      </c>
    </row>
    <row r="1211" customFormat="false" ht="15" hidden="false" customHeight="false" outlineLevel="0" collapsed="false">
      <c r="A1211" s="14" t="s">
        <v>102</v>
      </c>
      <c r="B1211" s="15" t="n">
        <v>46111</v>
      </c>
      <c r="C1211" s="14" t="n">
        <v>2377.4</v>
      </c>
      <c r="D1211" s="14" t="n">
        <v>2408905</v>
      </c>
      <c r="E1211" s="16" t="n">
        <f aca="false">COUNTIFS($A$2:$A$1561,A1211,$B$2:$B$1561,"&gt;"&amp;B1211)+1</f>
        <v>91</v>
      </c>
      <c r="F1211" s="16" t="n">
        <f aca="false">IF(A1211=A1210,C1211-C1210,"")</f>
        <v>12.46</v>
      </c>
      <c r="G1211" s="16" t="n">
        <f aca="false">IF(A1211=A1210,IF(F1211&gt;0,F1211,0),"")</f>
        <v>12.46</v>
      </c>
      <c r="H1211" s="16" t="n">
        <f aca="false">IF(A1211=A1210,IF(F1211&lt;0,-F1211,0),"")</f>
        <v>0</v>
      </c>
    </row>
    <row r="1212" customFormat="false" ht="15" hidden="false" customHeight="false" outlineLevel="0" collapsed="false">
      <c r="A1212" s="14" t="s">
        <v>102</v>
      </c>
      <c r="B1212" s="15" t="n">
        <v>46112</v>
      </c>
      <c r="C1212" s="14" t="n">
        <v>2390.25</v>
      </c>
      <c r="D1212" s="14" t="n">
        <v>533378</v>
      </c>
      <c r="E1212" s="16" t="n">
        <f aca="false">COUNTIFS($A$2:$A$1561,A1212,$B$2:$B$1561,"&gt;"&amp;B1212)+1</f>
        <v>90</v>
      </c>
      <c r="F1212" s="16" t="n">
        <f aca="false">IF(A1212=A1211,C1212-C1211,"")</f>
        <v>12.8499999999999</v>
      </c>
      <c r="G1212" s="16" t="n">
        <f aca="false">IF(A1212=A1211,IF(F1212&gt;0,F1212,0),"")</f>
        <v>12.8499999999999</v>
      </c>
      <c r="H1212" s="16" t="n">
        <f aca="false">IF(A1212=A1211,IF(F1212&lt;0,-F1212,0),"")</f>
        <v>0</v>
      </c>
    </row>
    <row r="1213" customFormat="false" ht="15" hidden="false" customHeight="false" outlineLevel="0" collapsed="false">
      <c r="A1213" s="14" t="s">
        <v>102</v>
      </c>
      <c r="B1213" s="15" t="n">
        <v>46113</v>
      </c>
      <c r="C1213" s="14" t="n">
        <v>2372.93</v>
      </c>
      <c r="D1213" s="14" t="n">
        <v>1024370</v>
      </c>
      <c r="E1213" s="16" t="n">
        <f aca="false">COUNTIFS($A$2:$A$1561,A1213,$B$2:$B$1561,"&gt;"&amp;B1213)+1</f>
        <v>89</v>
      </c>
      <c r="F1213" s="16" t="n">
        <f aca="false">IF(A1213=A1212,C1213-C1212,"")</f>
        <v>-17.3200000000002</v>
      </c>
      <c r="G1213" s="16" t="n">
        <f aca="false">IF(A1213=A1212,IF(F1213&gt;0,F1213,0),"")</f>
        <v>0</v>
      </c>
      <c r="H1213" s="16" t="n">
        <f aca="false">IF(A1213=A1212,IF(F1213&lt;0,-F1213,0),"")</f>
        <v>17.3200000000002</v>
      </c>
    </row>
    <row r="1214" customFormat="false" ht="15" hidden="false" customHeight="false" outlineLevel="0" collapsed="false">
      <c r="A1214" s="14" t="s">
        <v>102</v>
      </c>
      <c r="B1214" s="15" t="n">
        <v>46114</v>
      </c>
      <c r="C1214" s="14" t="n">
        <v>2354.56</v>
      </c>
      <c r="D1214" s="14" t="n">
        <v>620937</v>
      </c>
      <c r="E1214" s="16" t="n">
        <f aca="false">COUNTIFS($A$2:$A$1561,A1214,$B$2:$B$1561,"&gt;"&amp;B1214)+1</f>
        <v>88</v>
      </c>
      <c r="F1214" s="16" t="n">
        <f aca="false">IF(A1214=A1213,C1214-C1213,"")</f>
        <v>-18.3699999999999</v>
      </c>
      <c r="G1214" s="16" t="n">
        <f aca="false">IF(A1214=A1213,IF(F1214&gt;0,F1214,0),"")</f>
        <v>0</v>
      </c>
      <c r="H1214" s="16" t="n">
        <f aca="false">IF(A1214=A1213,IF(F1214&lt;0,-F1214,0),"")</f>
        <v>18.3699999999999</v>
      </c>
    </row>
    <row r="1215" customFormat="false" ht="15" hidden="false" customHeight="false" outlineLevel="0" collapsed="false">
      <c r="A1215" s="14" t="s">
        <v>102</v>
      </c>
      <c r="B1215" s="15" t="n">
        <v>46115</v>
      </c>
      <c r="C1215" s="14" t="n">
        <v>2368.09</v>
      </c>
      <c r="D1215" s="14" t="n">
        <v>1513221</v>
      </c>
      <c r="E1215" s="16" t="n">
        <f aca="false">COUNTIFS($A$2:$A$1561,A1215,$B$2:$B$1561,"&gt;"&amp;B1215)+1</f>
        <v>87</v>
      </c>
      <c r="F1215" s="16" t="n">
        <f aca="false">IF(A1215=A1214,C1215-C1214,"")</f>
        <v>13.5300000000002</v>
      </c>
      <c r="G1215" s="16" t="n">
        <f aca="false">IF(A1215=A1214,IF(F1215&gt;0,F1215,0),"")</f>
        <v>13.5300000000002</v>
      </c>
      <c r="H1215" s="16" t="n">
        <f aca="false">IF(A1215=A1214,IF(F1215&lt;0,-F1215,0),"")</f>
        <v>0</v>
      </c>
    </row>
    <row r="1216" customFormat="false" ht="15" hidden="false" customHeight="false" outlineLevel="0" collapsed="false">
      <c r="A1216" s="14" t="s">
        <v>102</v>
      </c>
      <c r="B1216" s="15" t="n">
        <v>46118</v>
      </c>
      <c r="C1216" s="14" t="n">
        <v>2374.85</v>
      </c>
      <c r="D1216" s="14" t="n">
        <v>1502097</v>
      </c>
      <c r="E1216" s="16" t="n">
        <f aca="false">COUNTIFS($A$2:$A$1561,A1216,$B$2:$B$1561,"&gt;"&amp;B1216)+1</f>
        <v>86</v>
      </c>
      <c r="F1216" s="16" t="n">
        <f aca="false">IF(A1216=A1215,C1216-C1215,"")</f>
        <v>6.75999999999976</v>
      </c>
      <c r="G1216" s="16" t="n">
        <f aca="false">IF(A1216=A1215,IF(F1216&gt;0,F1216,0),"")</f>
        <v>6.75999999999976</v>
      </c>
      <c r="H1216" s="16" t="n">
        <f aca="false">IF(A1216=A1215,IF(F1216&lt;0,-F1216,0),"")</f>
        <v>0</v>
      </c>
    </row>
    <row r="1217" customFormat="false" ht="15" hidden="false" customHeight="false" outlineLevel="0" collapsed="false">
      <c r="A1217" s="14" t="s">
        <v>102</v>
      </c>
      <c r="B1217" s="15" t="n">
        <v>46119</v>
      </c>
      <c r="C1217" s="14" t="n">
        <v>2372.52</v>
      </c>
      <c r="D1217" s="14" t="n">
        <v>1903621</v>
      </c>
      <c r="E1217" s="16" t="n">
        <f aca="false">COUNTIFS($A$2:$A$1561,A1217,$B$2:$B$1561,"&gt;"&amp;B1217)+1</f>
        <v>85</v>
      </c>
      <c r="F1217" s="16" t="n">
        <f aca="false">IF(A1217=A1216,C1217-C1216,"")</f>
        <v>-2.32999999999993</v>
      </c>
      <c r="G1217" s="16" t="n">
        <f aca="false">IF(A1217=A1216,IF(F1217&gt;0,F1217,0),"")</f>
        <v>0</v>
      </c>
      <c r="H1217" s="16" t="n">
        <f aca="false">IF(A1217=A1216,IF(F1217&lt;0,-F1217,0),"")</f>
        <v>2.32999999999993</v>
      </c>
    </row>
    <row r="1218" customFormat="false" ht="15" hidden="false" customHeight="false" outlineLevel="0" collapsed="false">
      <c r="A1218" s="14" t="s">
        <v>102</v>
      </c>
      <c r="B1218" s="15" t="n">
        <v>46120</v>
      </c>
      <c r="C1218" s="14" t="n">
        <v>2355.97</v>
      </c>
      <c r="D1218" s="14" t="n">
        <v>1573129</v>
      </c>
      <c r="E1218" s="16" t="n">
        <f aca="false">COUNTIFS($A$2:$A$1561,A1218,$B$2:$B$1561,"&gt;"&amp;B1218)+1</f>
        <v>84</v>
      </c>
      <c r="F1218" s="16" t="n">
        <f aca="false">IF(A1218=A1217,C1218-C1217,"")</f>
        <v>-16.5500000000002</v>
      </c>
      <c r="G1218" s="16" t="n">
        <f aca="false">IF(A1218=A1217,IF(F1218&gt;0,F1218,0),"")</f>
        <v>0</v>
      </c>
      <c r="H1218" s="16" t="n">
        <f aca="false">IF(A1218=A1217,IF(F1218&lt;0,-F1218,0),"")</f>
        <v>16.5500000000002</v>
      </c>
    </row>
    <row r="1219" customFormat="false" ht="15" hidden="false" customHeight="false" outlineLevel="0" collapsed="false">
      <c r="A1219" s="14" t="s">
        <v>102</v>
      </c>
      <c r="B1219" s="15" t="n">
        <v>46121</v>
      </c>
      <c r="C1219" s="14" t="n">
        <v>2362.16</v>
      </c>
      <c r="D1219" s="14" t="n">
        <v>1054935</v>
      </c>
      <c r="E1219" s="16" t="n">
        <f aca="false">COUNTIFS($A$2:$A$1561,A1219,$B$2:$B$1561,"&gt;"&amp;B1219)+1</f>
        <v>83</v>
      </c>
      <c r="F1219" s="16" t="n">
        <f aca="false">IF(A1219=A1218,C1219-C1218,"")</f>
        <v>6.19000000000006</v>
      </c>
      <c r="G1219" s="16" t="n">
        <f aca="false">IF(A1219=A1218,IF(F1219&gt;0,F1219,0),"")</f>
        <v>6.19000000000006</v>
      </c>
      <c r="H1219" s="16" t="n">
        <f aca="false">IF(A1219=A1218,IF(F1219&lt;0,-F1219,0),"")</f>
        <v>0</v>
      </c>
    </row>
    <row r="1220" customFormat="false" ht="15" hidden="false" customHeight="false" outlineLevel="0" collapsed="false">
      <c r="A1220" s="14" t="s">
        <v>102</v>
      </c>
      <c r="B1220" s="15" t="n">
        <v>46122</v>
      </c>
      <c r="C1220" s="14" t="n">
        <v>2355.35</v>
      </c>
      <c r="D1220" s="14" t="n">
        <v>1522609</v>
      </c>
      <c r="E1220" s="16" t="n">
        <f aca="false">COUNTIFS($A$2:$A$1561,A1220,$B$2:$B$1561,"&gt;"&amp;B1220)+1</f>
        <v>82</v>
      </c>
      <c r="F1220" s="16" t="n">
        <f aca="false">IF(A1220=A1219,C1220-C1219,"")</f>
        <v>-6.80999999999995</v>
      </c>
      <c r="G1220" s="16" t="n">
        <f aca="false">IF(A1220=A1219,IF(F1220&gt;0,F1220,0),"")</f>
        <v>0</v>
      </c>
      <c r="H1220" s="16" t="n">
        <f aca="false">IF(A1220=A1219,IF(F1220&lt;0,-F1220,0),"")</f>
        <v>6.80999999999995</v>
      </c>
    </row>
    <row r="1221" customFormat="false" ht="15" hidden="false" customHeight="false" outlineLevel="0" collapsed="false">
      <c r="A1221" s="14" t="s">
        <v>102</v>
      </c>
      <c r="B1221" s="15" t="n">
        <v>46125</v>
      </c>
      <c r="C1221" s="14" t="n">
        <v>2344.04</v>
      </c>
      <c r="D1221" s="14" t="n">
        <v>2116120</v>
      </c>
      <c r="E1221" s="16" t="n">
        <f aca="false">COUNTIFS($A$2:$A$1561,A1221,$B$2:$B$1561,"&gt;"&amp;B1221)+1</f>
        <v>81</v>
      </c>
      <c r="F1221" s="16" t="n">
        <f aca="false">IF(A1221=A1220,C1221-C1220,"")</f>
        <v>-11.3099999999999</v>
      </c>
      <c r="G1221" s="16" t="n">
        <f aca="false">IF(A1221=A1220,IF(F1221&gt;0,F1221,0),"")</f>
        <v>0</v>
      </c>
      <c r="H1221" s="16" t="n">
        <f aca="false">IF(A1221=A1220,IF(F1221&lt;0,-F1221,0),"")</f>
        <v>11.3099999999999</v>
      </c>
    </row>
    <row r="1222" customFormat="false" ht="15" hidden="false" customHeight="false" outlineLevel="0" collapsed="false">
      <c r="A1222" s="14" t="s">
        <v>102</v>
      </c>
      <c r="B1222" s="15" t="n">
        <v>46126</v>
      </c>
      <c r="C1222" s="14" t="n">
        <v>2346.84</v>
      </c>
      <c r="D1222" s="14" t="n">
        <v>1281463</v>
      </c>
      <c r="E1222" s="16" t="n">
        <f aca="false">COUNTIFS($A$2:$A$1561,A1222,$B$2:$B$1561,"&gt;"&amp;B1222)+1</f>
        <v>80</v>
      </c>
      <c r="F1222" s="16" t="n">
        <f aca="false">IF(A1222=A1221,C1222-C1221,"")</f>
        <v>2.80000000000018</v>
      </c>
      <c r="G1222" s="16" t="n">
        <f aca="false">IF(A1222=A1221,IF(F1222&gt;0,F1222,0),"")</f>
        <v>2.80000000000018</v>
      </c>
      <c r="H1222" s="16" t="n">
        <f aca="false">IF(A1222=A1221,IF(F1222&lt;0,-F1222,0),"")</f>
        <v>0</v>
      </c>
    </row>
    <row r="1223" customFormat="false" ht="15" hidden="false" customHeight="false" outlineLevel="0" collapsed="false">
      <c r="A1223" s="14" t="s">
        <v>102</v>
      </c>
      <c r="B1223" s="15" t="n">
        <v>46127</v>
      </c>
      <c r="C1223" s="14" t="n">
        <v>2353.78</v>
      </c>
      <c r="D1223" s="14" t="n">
        <v>2169052</v>
      </c>
      <c r="E1223" s="16" t="n">
        <f aca="false">COUNTIFS($A$2:$A$1561,A1223,$B$2:$B$1561,"&gt;"&amp;B1223)+1</f>
        <v>79</v>
      </c>
      <c r="F1223" s="16" t="n">
        <f aca="false">IF(A1223=A1222,C1223-C1222,"")</f>
        <v>6.94000000000006</v>
      </c>
      <c r="G1223" s="16" t="n">
        <f aca="false">IF(A1223=A1222,IF(F1223&gt;0,F1223,0),"")</f>
        <v>6.94000000000006</v>
      </c>
      <c r="H1223" s="16" t="n">
        <f aca="false">IF(A1223=A1222,IF(F1223&lt;0,-F1223,0),"")</f>
        <v>0</v>
      </c>
    </row>
    <row r="1224" customFormat="false" ht="15" hidden="false" customHeight="false" outlineLevel="0" collapsed="false">
      <c r="A1224" s="14" t="s">
        <v>102</v>
      </c>
      <c r="B1224" s="15" t="n">
        <v>46128</v>
      </c>
      <c r="C1224" s="14" t="n">
        <v>2362.73</v>
      </c>
      <c r="D1224" s="14" t="n">
        <v>632230</v>
      </c>
      <c r="E1224" s="16" t="n">
        <f aca="false">COUNTIFS($A$2:$A$1561,A1224,$B$2:$B$1561,"&gt;"&amp;B1224)+1</f>
        <v>78</v>
      </c>
      <c r="F1224" s="16" t="n">
        <f aca="false">IF(A1224=A1223,C1224-C1223,"")</f>
        <v>8.94999999999982</v>
      </c>
      <c r="G1224" s="16" t="n">
        <f aca="false">IF(A1224=A1223,IF(F1224&gt;0,F1224,0),"")</f>
        <v>8.94999999999982</v>
      </c>
      <c r="H1224" s="16" t="n">
        <f aca="false">IF(A1224=A1223,IF(F1224&lt;0,-F1224,0),"")</f>
        <v>0</v>
      </c>
    </row>
    <row r="1225" customFormat="false" ht="15" hidden="false" customHeight="false" outlineLevel="0" collapsed="false">
      <c r="A1225" s="14" t="s">
        <v>102</v>
      </c>
      <c r="B1225" s="15" t="n">
        <v>46129</v>
      </c>
      <c r="C1225" s="14" t="n">
        <v>2372.45</v>
      </c>
      <c r="D1225" s="14" t="n">
        <v>1959916</v>
      </c>
      <c r="E1225" s="16" t="n">
        <f aca="false">COUNTIFS($A$2:$A$1561,A1225,$B$2:$B$1561,"&gt;"&amp;B1225)+1</f>
        <v>77</v>
      </c>
      <c r="F1225" s="16" t="n">
        <f aca="false">IF(A1225=A1224,C1225-C1224,"")</f>
        <v>9.7199999999998</v>
      </c>
      <c r="G1225" s="16" t="n">
        <f aca="false">IF(A1225=A1224,IF(F1225&gt;0,F1225,0),"")</f>
        <v>9.7199999999998</v>
      </c>
      <c r="H1225" s="16" t="n">
        <f aca="false">IF(A1225=A1224,IF(F1225&lt;0,-F1225,0),"")</f>
        <v>0</v>
      </c>
    </row>
    <row r="1226" customFormat="false" ht="15" hidden="false" customHeight="false" outlineLevel="0" collapsed="false">
      <c r="A1226" s="14" t="s">
        <v>102</v>
      </c>
      <c r="B1226" s="15" t="n">
        <v>46132</v>
      </c>
      <c r="C1226" s="14" t="n">
        <v>2388.53</v>
      </c>
      <c r="D1226" s="14" t="n">
        <v>615811</v>
      </c>
      <c r="E1226" s="16" t="n">
        <f aca="false">COUNTIFS($A$2:$A$1561,A1226,$B$2:$B$1561,"&gt;"&amp;B1226)+1</f>
        <v>76</v>
      </c>
      <c r="F1226" s="16" t="n">
        <f aca="false">IF(A1226=A1225,C1226-C1225,"")</f>
        <v>16.0800000000004</v>
      </c>
      <c r="G1226" s="16" t="n">
        <f aca="false">IF(A1226=A1225,IF(F1226&gt;0,F1226,0),"")</f>
        <v>16.0800000000004</v>
      </c>
      <c r="H1226" s="16" t="n">
        <f aca="false">IF(A1226=A1225,IF(F1226&lt;0,-F1226,0),"")</f>
        <v>0</v>
      </c>
    </row>
    <row r="1227" customFormat="false" ht="15" hidden="false" customHeight="false" outlineLevel="0" collapsed="false">
      <c r="A1227" s="14" t="s">
        <v>102</v>
      </c>
      <c r="B1227" s="15" t="n">
        <v>46133</v>
      </c>
      <c r="C1227" s="14" t="n">
        <v>2372.03</v>
      </c>
      <c r="D1227" s="14" t="n">
        <v>1368967</v>
      </c>
      <c r="E1227" s="16" t="n">
        <f aca="false">COUNTIFS($A$2:$A$1561,A1227,$B$2:$B$1561,"&gt;"&amp;B1227)+1</f>
        <v>75</v>
      </c>
      <c r="F1227" s="16" t="n">
        <f aca="false">IF(A1227=A1226,C1227-C1226,"")</f>
        <v>-16.5</v>
      </c>
      <c r="G1227" s="16" t="n">
        <f aca="false">IF(A1227=A1226,IF(F1227&gt;0,F1227,0),"")</f>
        <v>0</v>
      </c>
      <c r="H1227" s="16" t="n">
        <f aca="false">IF(A1227=A1226,IF(F1227&lt;0,-F1227,0),"")</f>
        <v>16.5</v>
      </c>
    </row>
    <row r="1228" customFormat="false" ht="15" hidden="false" customHeight="false" outlineLevel="0" collapsed="false">
      <c r="A1228" s="14" t="s">
        <v>102</v>
      </c>
      <c r="B1228" s="15" t="n">
        <v>46134</v>
      </c>
      <c r="C1228" s="14" t="n">
        <v>2371.32</v>
      </c>
      <c r="D1228" s="14" t="n">
        <v>1717664</v>
      </c>
      <c r="E1228" s="16" t="n">
        <f aca="false">COUNTIFS($A$2:$A$1561,A1228,$B$2:$B$1561,"&gt;"&amp;B1228)+1</f>
        <v>74</v>
      </c>
      <c r="F1228" s="16" t="n">
        <f aca="false">IF(A1228=A1227,C1228-C1227,"")</f>
        <v>-0.710000000000036</v>
      </c>
      <c r="G1228" s="16" t="n">
        <f aca="false">IF(A1228=A1227,IF(F1228&gt;0,F1228,0),"")</f>
        <v>0</v>
      </c>
      <c r="H1228" s="16" t="n">
        <f aca="false">IF(A1228=A1227,IF(F1228&lt;0,-F1228,0),"")</f>
        <v>0.710000000000036</v>
      </c>
    </row>
    <row r="1229" customFormat="false" ht="15" hidden="false" customHeight="false" outlineLevel="0" collapsed="false">
      <c r="A1229" s="14" t="s">
        <v>102</v>
      </c>
      <c r="B1229" s="15" t="n">
        <v>46135</v>
      </c>
      <c r="C1229" s="14" t="n">
        <v>2364.46</v>
      </c>
      <c r="D1229" s="14" t="n">
        <v>1983387</v>
      </c>
      <c r="E1229" s="16" t="n">
        <f aca="false">COUNTIFS($A$2:$A$1561,A1229,$B$2:$B$1561,"&gt;"&amp;B1229)+1</f>
        <v>73</v>
      </c>
      <c r="F1229" s="16" t="n">
        <f aca="false">IF(A1229=A1228,C1229-C1228,"")</f>
        <v>-6.86000000000013</v>
      </c>
      <c r="G1229" s="16" t="n">
        <f aca="false">IF(A1229=A1228,IF(F1229&gt;0,F1229,0),"")</f>
        <v>0</v>
      </c>
      <c r="H1229" s="16" t="n">
        <f aca="false">IF(A1229=A1228,IF(F1229&lt;0,-F1229,0),"")</f>
        <v>6.86000000000013</v>
      </c>
    </row>
    <row r="1230" customFormat="false" ht="15" hidden="false" customHeight="false" outlineLevel="0" collapsed="false">
      <c r="A1230" s="14" t="s">
        <v>102</v>
      </c>
      <c r="B1230" s="15" t="n">
        <v>46136</v>
      </c>
      <c r="C1230" s="14" t="n">
        <v>2375.98</v>
      </c>
      <c r="D1230" s="14" t="n">
        <v>738886</v>
      </c>
      <c r="E1230" s="16" t="n">
        <f aca="false">COUNTIFS($A$2:$A$1561,A1230,$B$2:$B$1561,"&gt;"&amp;B1230)+1</f>
        <v>72</v>
      </c>
      <c r="F1230" s="16" t="n">
        <f aca="false">IF(A1230=A1229,C1230-C1229,"")</f>
        <v>11.52</v>
      </c>
      <c r="G1230" s="16" t="n">
        <f aca="false">IF(A1230=A1229,IF(F1230&gt;0,F1230,0),"")</f>
        <v>11.52</v>
      </c>
      <c r="H1230" s="16" t="n">
        <f aca="false">IF(A1230=A1229,IF(F1230&lt;0,-F1230,0),"")</f>
        <v>0</v>
      </c>
    </row>
    <row r="1231" customFormat="false" ht="15" hidden="false" customHeight="false" outlineLevel="0" collapsed="false">
      <c r="A1231" s="14" t="s">
        <v>102</v>
      </c>
      <c r="B1231" s="15" t="n">
        <v>46139</v>
      </c>
      <c r="C1231" s="14" t="n">
        <v>2386.15</v>
      </c>
      <c r="D1231" s="14" t="n">
        <v>1902999</v>
      </c>
      <c r="E1231" s="16" t="n">
        <f aca="false">COUNTIFS($A$2:$A$1561,A1231,$B$2:$B$1561,"&gt;"&amp;B1231)+1</f>
        <v>71</v>
      </c>
      <c r="F1231" s="16" t="n">
        <f aca="false">IF(A1231=A1230,C1231-C1230,"")</f>
        <v>10.1700000000001</v>
      </c>
      <c r="G1231" s="16" t="n">
        <f aca="false">IF(A1231=A1230,IF(F1231&gt;0,F1231,0),"")</f>
        <v>10.1700000000001</v>
      </c>
      <c r="H1231" s="16" t="n">
        <f aca="false">IF(A1231=A1230,IF(F1231&lt;0,-F1231,0),"")</f>
        <v>0</v>
      </c>
    </row>
    <row r="1232" customFormat="false" ht="15" hidden="false" customHeight="false" outlineLevel="0" collapsed="false">
      <c r="A1232" s="14" t="s">
        <v>102</v>
      </c>
      <c r="B1232" s="15" t="n">
        <v>46140</v>
      </c>
      <c r="C1232" s="14" t="n">
        <v>2373</v>
      </c>
      <c r="D1232" s="14" t="n">
        <v>2406032</v>
      </c>
      <c r="E1232" s="16" t="n">
        <f aca="false">COUNTIFS($A$2:$A$1561,A1232,$B$2:$B$1561,"&gt;"&amp;B1232)+1</f>
        <v>70</v>
      </c>
      <c r="F1232" s="16" t="n">
        <f aca="false">IF(A1232=A1231,C1232-C1231,"")</f>
        <v>-13.1500000000001</v>
      </c>
      <c r="G1232" s="16" t="n">
        <f aca="false">IF(A1232=A1231,IF(F1232&gt;0,F1232,0),"")</f>
        <v>0</v>
      </c>
      <c r="H1232" s="16" t="n">
        <f aca="false">IF(A1232=A1231,IF(F1232&lt;0,-F1232,0),"")</f>
        <v>13.1500000000001</v>
      </c>
    </row>
    <row r="1233" customFormat="false" ht="15" hidden="false" customHeight="false" outlineLevel="0" collapsed="false">
      <c r="A1233" s="14" t="s">
        <v>102</v>
      </c>
      <c r="B1233" s="15" t="n">
        <v>46141</v>
      </c>
      <c r="C1233" s="14" t="n">
        <v>2375.27</v>
      </c>
      <c r="D1233" s="14" t="n">
        <v>2065974</v>
      </c>
      <c r="E1233" s="16" t="n">
        <f aca="false">COUNTIFS($A$2:$A$1561,A1233,$B$2:$B$1561,"&gt;"&amp;B1233)+1</f>
        <v>69</v>
      </c>
      <c r="F1233" s="16" t="n">
        <f aca="false">IF(A1233=A1232,C1233-C1232,"")</f>
        <v>2.26999999999998</v>
      </c>
      <c r="G1233" s="16" t="n">
        <f aca="false">IF(A1233=A1232,IF(F1233&gt;0,F1233,0),"")</f>
        <v>2.26999999999998</v>
      </c>
      <c r="H1233" s="16" t="n">
        <f aca="false">IF(A1233=A1232,IF(F1233&lt;0,-F1233,0),"")</f>
        <v>0</v>
      </c>
    </row>
    <row r="1234" customFormat="false" ht="15" hidden="false" customHeight="false" outlineLevel="0" collapsed="false">
      <c r="A1234" s="14" t="s">
        <v>102</v>
      </c>
      <c r="B1234" s="15" t="n">
        <v>46142</v>
      </c>
      <c r="C1234" s="14" t="n">
        <v>2385.99</v>
      </c>
      <c r="D1234" s="14" t="n">
        <v>833925</v>
      </c>
      <c r="E1234" s="16" t="n">
        <f aca="false">COUNTIFS($A$2:$A$1561,A1234,$B$2:$B$1561,"&gt;"&amp;B1234)+1</f>
        <v>68</v>
      </c>
      <c r="F1234" s="16" t="n">
        <f aca="false">IF(A1234=A1233,C1234-C1233,"")</f>
        <v>10.7199999999998</v>
      </c>
      <c r="G1234" s="16" t="n">
        <f aca="false">IF(A1234=A1233,IF(F1234&gt;0,F1234,0),"")</f>
        <v>10.7199999999998</v>
      </c>
      <c r="H1234" s="16" t="n">
        <f aca="false">IF(A1234=A1233,IF(F1234&lt;0,-F1234,0),"")</f>
        <v>0</v>
      </c>
    </row>
    <row r="1235" customFormat="false" ht="15" hidden="false" customHeight="false" outlineLevel="0" collapsed="false">
      <c r="A1235" s="14" t="s">
        <v>102</v>
      </c>
      <c r="B1235" s="15" t="n">
        <v>46143</v>
      </c>
      <c r="C1235" s="14" t="n">
        <v>2371.25</v>
      </c>
      <c r="D1235" s="14" t="n">
        <v>2062247</v>
      </c>
      <c r="E1235" s="16" t="n">
        <f aca="false">COUNTIFS($A$2:$A$1561,A1235,$B$2:$B$1561,"&gt;"&amp;B1235)+1</f>
        <v>67</v>
      </c>
      <c r="F1235" s="16" t="n">
        <f aca="false">IF(A1235=A1234,C1235-C1234,"")</f>
        <v>-14.7399999999998</v>
      </c>
      <c r="G1235" s="16" t="n">
        <f aca="false">IF(A1235=A1234,IF(F1235&gt;0,F1235,0),"")</f>
        <v>0</v>
      </c>
      <c r="H1235" s="16" t="n">
        <f aca="false">IF(A1235=A1234,IF(F1235&lt;0,-F1235,0),"")</f>
        <v>14.7399999999998</v>
      </c>
    </row>
    <row r="1236" customFormat="false" ht="15" hidden="false" customHeight="false" outlineLevel="0" collapsed="false">
      <c r="A1236" s="14" t="s">
        <v>102</v>
      </c>
      <c r="B1236" s="15" t="n">
        <v>46146</v>
      </c>
      <c r="C1236" s="14" t="n">
        <v>2362.66</v>
      </c>
      <c r="D1236" s="14" t="n">
        <v>2272829</v>
      </c>
      <c r="E1236" s="16" t="n">
        <f aca="false">COUNTIFS($A$2:$A$1561,A1236,$B$2:$B$1561,"&gt;"&amp;B1236)+1</f>
        <v>66</v>
      </c>
      <c r="F1236" s="16" t="n">
        <f aca="false">IF(A1236=A1235,C1236-C1235,"")</f>
        <v>-8.59000000000015</v>
      </c>
      <c r="G1236" s="16" t="n">
        <f aca="false">IF(A1236=A1235,IF(F1236&gt;0,F1236,0),"")</f>
        <v>0</v>
      </c>
      <c r="H1236" s="16" t="n">
        <f aca="false">IF(A1236=A1235,IF(F1236&lt;0,-F1236,0),"")</f>
        <v>8.59000000000015</v>
      </c>
    </row>
    <row r="1237" customFormat="false" ht="15" hidden="false" customHeight="false" outlineLevel="0" collapsed="false">
      <c r="A1237" s="14" t="s">
        <v>102</v>
      </c>
      <c r="B1237" s="15" t="n">
        <v>46147</v>
      </c>
      <c r="C1237" s="14" t="n">
        <v>2375.48</v>
      </c>
      <c r="D1237" s="14" t="n">
        <v>558712</v>
      </c>
      <c r="E1237" s="16" t="n">
        <f aca="false">COUNTIFS($A$2:$A$1561,A1237,$B$2:$B$1561,"&gt;"&amp;B1237)+1</f>
        <v>65</v>
      </c>
      <c r="F1237" s="16" t="n">
        <f aca="false">IF(A1237=A1236,C1237-C1236,"")</f>
        <v>12.8200000000002</v>
      </c>
      <c r="G1237" s="16" t="n">
        <f aca="false">IF(A1237=A1236,IF(F1237&gt;0,F1237,0),"")</f>
        <v>12.8200000000002</v>
      </c>
      <c r="H1237" s="16" t="n">
        <f aca="false">IF(A1237=A1236,IF(F1237&lt;0,-F1237,0),"")</f>
        <v>0</v>
      </c>
    </row>
    <row r="1238" customFormat="false" ht="15" hidden="false" customHeight="false" outlineLevel="0" collapsed="false">
      <c r="A1238" s="14" t="s">
        <v>102</v>
      </c>
      <c r="B1238" s="15" t="n">
        <v>46148</v>
      </c>
      <c r="C1238" s="14" t="n">
        <v>2389.9</v>
      </c>
      <c r="D1238" s="14" t="n">
        <v>1043961</v>
      </c>
      <c r="E1238" s="16" t="n">
        <f aca="false">COUNTIFS($A$2:$A$1561,A1238,$B$2:$B$1561,"&gt;"&amp;B1238)+1</f>
        <v>64</v>
      </c>
      <c r="F1238" s="16" t="n">
        <f aca="false">IF(A1238=A1237,C1238-C1237,"")</f>
        <v>14.4200000000001</v>
      </c>
      <c r="G1238" s="16" t="n">
        <f aca="false">IF(A1238=A1237,IF(F1238&gt;0,F1238,0),"")</f>
        <v>14.4200000000001</v>
      </c>
      <c r="H1238" s="16" t="n">
        <f aca="false">IF(A1238=A1237,IF(F1238&lt;0,-F1238,0),"")</f>
        <v>0</v>
      </c>
    </row>
    <row r="1239" customFormat="false" ht="15" hidden="false" customHeight="false" outlineLevel="0" collapsed="false">
      <c r="A1239" s="14" t="s">
        <v>102</v>
      </c>
      <c r="B1239" s="15" t="n">
        <v>46149</v>
      </c>
      <c r="C1239" s="14" t="n">
        <v>2372.43</v>
      </c>
      <c r="D1239" s="14" t="n">
        <v>1924646</v>
      </c>
      <c r="E1239" s="16" t="n">
        <f aca="false">COUNTIFS($A$2:$A$1561,A1239,$B$2:$B$1561,"&gt;"&amp;B1239)+1</f>
        <v>63</v>
      </c>
      <c r="F1239" s="16" t="n">
        <f aca="false">IF(A1239=A1238,C1239-C1238,"")</f>
        <v>-17.4700000000003</v>
      </c>
      <c r="G1239" s="16" t="n">
        <f aca="false">IF(A1239=A1238,IF(F1239&gt;0,F1239,0),"")</f>
        <v>0</v>
      </c>
      <c r="H1239" s="16" t="n">
        <f aca="false">IF(A1239=A1238,IF(F1239&lt;0,-F1239,0),"")</f>
        <v>17.4700000000003</v>
      </c>
    </row>
    <row r="1240" customFormat="false" ht="15" hidden="false" customHeight="false" outlineLevel="0" collapsed="false">
      <c r="A1240" s="14" t="s">
        <v>102</v>
      </c>
      <c r="B1240" s="15" t="n">
        <v>46150</v>
      </c>
      <c r="C1240" s="14" t="n">
        <v>2376.98</v>
      </c>
      <c r="D1240" s="14" t="n">
        <v>654140</v>
      </c>
      <c r="E1240" s="16" t="n">
        <f aca="false">COUNTIFS($A$2:$A$1561,A1240,$B$2:$B$1561,"&gt;"&amp;B1240)+1</f>
        <v>62</v>
      </c>
      <c r="F1240" s="16" t="n">
        <f aca="false">IF(A1240=A1239,C1240-C1239,"")</f>
        <v>4.55000000000018</v>
      </c>
      <c r="G1240" s="16" t="n">
        <f aca="false">IF(A1240=A1239,IF(F1240&gt;0,F1240,0),"")</f>
        <v>4.55000000000018</v>
      </c>
      <c r="H1240" s="16" t="n">
        <f aca="false">IF(A1240=A1239,IF(F1240&lt;0,-F1240,0),"")</f>
        <v>0</v>
      </c>
    </row>
    <row r="1241" customFormat="false" ht="15" hidden="false" customHeight="false" outlineLevel="0" collapsed="false">
      <c r="A1241" s="14" t="s">
        <v>102</v>
      </c>
      <c r="B1241" s="15" t="n">
        <v>46153</v>
      </c>
      <c r="C1241" s="14" t="n">
        <v>2376.35</v>
      </c>
      <c r="D1241" s="14" t="n">
        <v>1220247</v>
      </c>
      <c r="E1241" s="16" t="n">
        <f aca="false">COUNTIFS($A$2:$A$1561,A1241,$B$2:$B$1561,"&gt;"&amp;B1241)+1</f>
        <v>61</v>
      </c>
      <c r="F1241" s="16" t="n">
        <f aca="false">IF(A1241=A1240,C1241-C1240,"")</f>
        <v>-0.630000000000109</v>
      </c>
      <c r="G1241" s="16" t="n">
        <f aca="false">IF(A1241=A1240,IF(F1241&gt;0,F1241,0),"")</f>
        <v>0</v>
      </c>
      <c r="H1241" s="16" t="n">
        <f aca="false">IF(A1241=A1240,IF(F1241&lt;0,-F1241,0),"")</f>
        <v>0.630000000000109</v>
      </c>
    </row>
    <row r="1242" customFormat="false" ht="15" hidden="false" customHeight="false" outlineLevel="0" collapsed="false">
      <c r="A1242" s="14" t="s">
        <v>102</v>
      </c>
      <c r="B1242" s="15" t="n">
        <v>46154</v>
      </c>
      <c r="C1242" s="14" t="n">
        <v>2377.61</v>
      </c>
      <c r="D1242" s="14" t="n">
        <v>1633772</v>
      </c>
      <c r="E1242" s="16" t="n">
        <f aca="false">COUNTIFS($A$2:$A$1561,A1242,$B$2:$B$1561,"&gt;"&amp;B1242)+1</f>
        <v>60</v>
      </c>
      <c r="F1242" s="16" t="n">
        <f aca="false">IF(A1242=A1241,C1242-C1241,"")</f>
        <v>1.26000000000022</v>
      </c>
      <c r="G1242" s="16" t="n">
        <f aca="false">IF(A1242=A1241,IF(F1242&gt;0,F1242,0),"")</f>
        <v>1.26000000000022</v>
      </c>
      <c r="H1242" s="16" t="n">
        <f aca="false">IF(A1242=A1241,IF(F1242&lt;0,-F1242,0),"")</f>
        <v>0</v>
      </c>
    </row>
    <row r="1243" customFormat="false" ht="15" hidden="false" customHeight="false" outlineLevel="0" collapsed="false">
      <c r="A1243" s="14" t="s">
        <v>102</v>
      </c>
      <c r="B1243" s="15" t="n">
        <v>46155</v>
      </c>
      <c r="C1243" s="14" t="n">
        <v>2373.24</v>
      </c>
      <c r="D1243" s="14" t="n">
        <v>1010232</v>
      </c>
      <c r="E1243" s="16" t="n">
        <f aca="false">COUNTIFS($A$2:$A$1561,A1243,$B$2:$B$1561,"&gt;"&amp;B1243)+1</f>
        <v>59</v>
      </c>
      <c r="F1243" s="16" t="n">
        <f aca="false">IF(A1243=A1242,C1243-C1242,"")</f>
        <v>-4.37000000000035</v>
      </c>
      <c r="G1243" s="16" t="n">
        <f aca="false">IF(A1243=A1242,IF(F1243&gt;0,F1243,0),"")</f>
        <v>0</v>
      </c>
      <c r="H1243" s="16" t="n">
        <f aca="false">IF(A1243=A1242,IF(F1243&lt;0,-F1243,0),"")</f>
        <v>4.37000000000035</v>
      </c>
    </row>
    <row r="1244" customFormat="false" ht="15" hidden="false" customHeight="false" outlineLevel="0" collapsed="false">
      <c r="A1244" s="14" t="s">
        <v>102</v>
      </c>
      <c r="B1244" s="15" t="n">
        <v>46156</v>
      </c>
      <c r="C1244" s="14" t="n">
        <v>2357.55</v>
      </c>
      <c r="D1244" s="14" t="n">
        <v>1647824</v>
      </c>
      <c r="E1244" s="16" t="n">
        <f aca="false">COUNTIFS($A$2:$A$1561,A1244,$B$2:$B$1561,"&gt;"&amp;B1244)+1</f>
        <v>58</v>
      </c>
      <c r="F1244" s="16" t="n">
        <f aca="false">IF(A1244=A1243,C1244-C1243,"")</f>
        <v>-15.6899999999996</v>
      </c>
      <c r="G1244" s="16" t="n">
        <f aca="false">IF(A1244=A1243,IF(F1244&gt;0,F1244,0),"")</f>
        <v>0</v>
      </c>
      <c r="H1244" s="16" t="n">
        <f aca="false">IF(A1244=A1243,IF(F1244&lt;0,-F1244,0),"")</f>
        <v>15.6899999999996</v>
      </c>
    </row>
    <row r="1245" customFormat="false" ht="15" hidden="false" customHeight="false" outlineLevel="0" collapsed="false">
      <c r="A1245" s="14" t="s">
        <v>102</v>
      </c>
      <c r="B1245" s="15" t="n">
        <v>46157</v>
      </c>
      <c r="C1245" s="14" t="n">
        <v>2368.28</v>
      </c>
      <c r="D1245" s="14" t="n">
        <v>956808</v>
      </c>
      <c r="E1245" s="16" t="n">
        <f aca="false">COUNTIFS($A$2:$A$1561,A1245,$B$2:$B$1561,"&gt;"&amp;B1245)+1</f>
        <v>57</v>
      </c>
      <c r="F1245" s="16" t="n">
        <f aca="false">IF(A1245=A1244,C1245-C1244,"")</f>
        <v>10.73</v>
      </c>
      <c r="G1245" s="16" t="n">
        <f aca="false">IF(A1245=A1244,IF(F1245&gt;0,F1245,0),"")</f>
        <v>10.73</v>
      </c>
      <c r="H1245" s="16" t="n">
        <f aca="false">IF(A1245=A1244,IF(F1245&lt;0,-F1245,0),"")</f>
        <v>0</v>
      </c>
    </row>
    <row r="1246" customFormat="false" ht="15" hidden="false" customHeight="false" outlineLevel="0" collapsed="false">
      <c r="A1246" s="14" t="s">
        <v>102</v>
      </c>
      <c r="B1246" s="15" t="n">
        <v>46160</v>
      </c>
      <c r="C1246" s="14" t="n">
        <v>2369.94</v>
      </c>
      <c r="D1246" s="14" t="n">
        <v>588075</v>
      </c>
      <c r="E1246" s="16" t="n">
        <f aca="false">COUNTIFS($A$2:$A$1561,A1246,$B$2:$B$1561,"&gt;"&amp;B1246)+1</f>
        <v>56</v>
      </c>
      <c r="F1246" s="16" t="n">
        <f aca="false">IF(A1246=A1245,C1246-C1245,"")</f>
        <v>1.65999999999985</v>
      </c>
      <c r="G1246" s="16" t="n">
        <f aca="false">IF(A1246=A1245,IF(F1246&gt;0,F1246,0),"")</f>
        <v>1.65999999999985</v>
      </c>
      <c r="H1246" s="16" t="n">
        <f aca="false">IF(A1246=A1245,IF(F1246&lt;0,-F1246,0),"")</f>
        <v>0</v>
      </c>
    </row>
    <row r="1247" customFormat="false" ht="15" hidden="false" customHeight="false" outlineLevel="0" collapsed="false">
      <c r="A1247" s="14" t="s">
        <v>102</v>
      </c>
      <c r="B1247" s="15" t="n">
        <v>46161</v>
      </c>
      <c r="C1247" s="14" t="n">
        <v>2386.7</v>
      </c>
      <c r="D1247" s="14" t="n">
        <v>989102</v>
      </c>
      <c r="E1247" s="16" t="n">
        <f aca="false">COUNTIFS($A$2:$A$1561,A1247,$B$2:$B$1561,"&gt;"&amp;B1247)+1</f>
        <v>55</v>
      </c>
      <c r="F1247" s="16" t="n">
        <f aca="false">IF(A1247=A1246,C1247-C1246,"")</f>
        <v>16.7599999999998</v>
      </c>
      <c r="G1247" s="16" t="n">
        <f aca="false">IF(A1247=A1246,IF(F1247&gt;0,F1247,0),"")</f>
        <v>16.7599999999998</v>
      </c>
      <c r="H1247" s="16" t="n">
        <f aca="false">IF(A1247=A1246,IF(F1247&lt;0,-F1247,0),"")</f>
        <v>0</v>
      </c>
    </row>
    <row r="1248" customFormat="false" ht="15" hidden="false" customHeight="false" outlineLevel="0" collapsed="false">
      <c r="A1248" s="14" t="s">
        <v>102</v>
      </c>
      <c r="B1248" s="15" t="n">
        <v>46162</v>
      </c>
      <c r="C1248" s="14" t="n">
        <v>2386.77</v>
      </c>
      <c r="D1248" s="14" t="n">
        <v>1265958</v>
      </c>
      <c r="E1248" s="16" t="n">
        <f aca="false">COUNTIFS($A$2:$A$1561,A1248,$B$2:$B$1561,"&gt;"&amp;B1248)+1</f>
        <v>54</v>
      </c>
      <c r="F1248" s="16" t="n">
        <f aca="false">IF(A1248=A1247,C1248-C1247,"")</f>
        <v>0.0700000000001637</v>
      </c>
      <c r="G1248" s="16" t="n">
        <f aca="false">IF(A1248=A1247,IF(F1248&gt;0,F1248,0),"")</f>
        <v>0.0700000000001637</v>
      </c>
      <c r="H1248" s="16" t="n">
        <f aca="false">IF(A1248=A1247,IF(F1248&lt;0,-F1248,0),"")</f>
        <v>0</v>
      </c>
    </row>
    <row r="1249" customFormat="false" ht="15" hidden="false" customHeight="false" outlineLevel="0" collapsed="false">
      <c r="A1249" s="14" t="s">
        <v>102</v>
      </c>
      <c r="B1249" s="15" t="n">
        <v>46163</v>
      </c>
      <c r="C1249" s="14" t="n">
        <v>2373.03</v>
      </c>
      <c r="D1249" s="14" t="n">
        <v>2362320</v>
      </c>
      <c r="E1249" s="16" t="n">
        <f aca="false">COUNTIFS($A$2:$A$1561,A1249,$B$2:$B$1561,"&gt;"&amp;B1249)+1</f>
        <v>53</v>
      </c>
      <c r="F1249" s="16" t="n">
        <f aca="false">IF(A1249=A1248,C1249-C1248,"")</f>
        <v>-13.7399999999998</v>
      </c>
      <c r="G1249" s="16" t="n">
        <f aca="false">IF(A1249=A1248,IF(F1249&gt;0,F1249,0),"")</f>
        <v>0</v>
      </c>
      <c r="H1249" s="16" t="n">
        <f aca="false">IF(A1249=A1248,IF(F1249&lt;0,-F1249,0),"")</f>
        <v>13.7399999999998</v>
      </c>
    </row>
    <row r="1250" customFormat="false" ht="15" hidden="false" customHeight="false" outlineLevel="0" collapsed="false">
      <c r="A1250" s="14" t="s">
        <v>102</v>
      </c>
      <c r="B1250" s="15" t="n">
        <v>46164</v>
      </c>
      <c r="C1250" s="14" t="n">
        <v>2389.58</v>
      </c>
      <c r="D1250" s="14" t="n">
        <v>1605729</v>
      </c>
      <c r="E1250" s="16" t="n">
        <f aca="false">COUNTIFS($A$2:$A$1561,A1250,$B$2:$B$1561,"&gt;"&amp;B1250)+1</f>
        <v>52</v>
      </c>
      <c r="F1250" s="16" t="n">
        <f aca="false">IF(A1250=A1249,C1250-C1249,"")</f>
        <v>16.5499999999997</v>
      </c>
      <c r="G1250" s="16" t="n">
        <f aca="false">IF(A1250=A1249,IF(F1250&gt;0,F1250,0),"")</f>
        <v>16.5499999999997</v>
      </c>
      <c r="H1250" s="16" t="n">
        <f aca="false">IF(A1250=A1249,IF(F1250&lt;0,-F1250,0),"")</f>
        <v>0</v>
      </c>
    </row>
    <row r="1251" customFormat="false" ht="15" hidden="false" customHeight="false" outlineLevel="0" collapsed="false">
      <c r="A1251" s="14" t="s">
        <v>102</v>
      </c>
      <c r="B1251" s="15" t="n">
        <v>46167</v>
      </c>
      <c r="C1251" s="14" t="n">
        <v>2408.68</v>
      </c>
      <c r="D1251" s="14" t="n">
        <v>1981331</v>
      </c>
      <c r="E1251" s="16" t="n">
        <f aca="false">COUNTIFS($A$2:$A$1561,A1251,$B$2:$B$1561,"&gt;"&amp;B1251)+1</f>
        <v>51</v>
      </c>
      <c r="F1251" s="16" t="n">
        <f aca="false">IF(A1251=A1250,C1251-C1250,"")</f>
        <v>19.0999999999999</v>
      </c>
      <c r="G1251" s="16" t="n">
        <f aca="false">IF(A1251=A1250,IF(F1251&gt;0,F1251,0),"")</f>
        <v>19.0999999999999</v>
      </c>
      <c r="H1251" s="16" t="n">
        <f aca="false">IF(A1251=A1250,IF(F1251&lt;0,-F1251,0),"")</f>
        <v>0</v>
      </c>
    </row>
    <row r="1252" customFormat="false" ht="15" hidden="false" customHeight="false" outlineLevel="0" collapsed="false">
      <c r="A1252" s="14" t="s">
        <v>102</v>
      </c>
      <c r="B1252" s="15" t="n">
        <v>46168</v>
      </c>
      <c r="C1252" s="14" t="n">
        <v>2406.48</v>
      </c>
      <c r="D1252" s="14" t="n">
        <v>1143604</v>
      </c>
      <c r="E1252" s="16" t="n">
        <f aca="false">COUNTIFS($A$2:$A$1561,A1252,$B$2:$B$1561,"&gt;"&amp;B1252)+1</f>
        <v>50</v>
      </c>
      <c r="F1252" s="16" t="n">
        <f aca="false">IF(A1252=A1251,C1252-C1251,"")</f>
        <v>-2.19999999999982</v>
      </c>
      <c r="G1252" s="16" t="n">
        <f aca="false">IF(A1252=A1251,IF(F1252&gt;0,F1252,0),"")</f>
        <v>0</v>
      </c>
      <c r="H1252" s="16" t="n">
        <f aca="false">IF(A1252=A1251,IF(F1252&lt;0,-F1252,0),"")</f>
        <v>2.19999999999982</v>
      </c>
    </row>
    <row r="1253" customFormat="false" ht="15" hidden="false" customHeight="false" outlineLevel="0" collapsed="false">
      <c r="A1253" s="14" t="s">
        <v>102</v>
      </c>
      <c r="B1253" s="15" t="n">
        <v>46169</v>
      </c>
      <c r="C1253" s="14" t="n">
        <v>2404.15</v>
      </c>
      <c r="D1253" s="14" t="n">
        <v>1940575</v>
      </c>
      <c r="E1253" s="16" t="n">
        <f aca="false">COUNTIFS($A$2:$A$1561,A1253,$B$2:$B$1561,"&gt;"&amp;B1253)+1</f>
        <v>49</v>
      </c>
      <c r="F1253" s="16" t="n">
        <f aca="false">IF(A1253=A1252,C1253-C1252,"")</f>
        <v>-2.32999999999993</v>
      </c>
      <c r="G1253" s="16" t="n">
        <f aca="false">IF(A1253=A1252,IF(F1253&gt;0,F1253,0),"")</f>
        <v>0</v>
      </c>
      <c r="H1253" s="16" t="n">
        <f aca="false">IF(A1253=A1252,IF(F1253&lt;0,-F1253,0),"")</f>
        <v>2.32999999999993</v>
      </c>
    </row>
    <row r="1254" customFormat="false" ht="15" hidden="false" customHeight="false" outlineLevel="0" collapsed="false">
      <c r="A1254" s="14" t="s">
        <v>102</v>
      </c>
      <c r="B1254" s="15" t="n">
        <v>46170</v>
      </c>
      <c r="C1254" s="14" t="n">
        <v>2395.55</v>
      </c>
      <c r="D1254" s="14" t="n">
        <v>655774</v>
      </c>
      <c r="E1254" s="16" t="n">
        <f aca="false">COUNTIFS($A$2:$A$1561,A1254,$B$2:$B$1561,"&gt;"&amp;B1254)+1</f>
        <v>48</v>
      </c>
      <c r="F1254" s="16" t="n">
        <f aca="false">IF(A1254=A1253,C1254-C1253,"")</f>
        <v>-8.59999999999991</v>
      </c>
      <c r="G1254" s="16" t="n">
        <f aca="false">IF(A1254=A1253,IF(F1254&gt;0,F1254,0),"")</f>
        <v>0</v>
      </c>
      <c r="H1254" s="16" t="n">
        <f aca="false">IF(A1254=A1253,IF(F1254&lt;0,-F1254,0),"")</f>
        <v>8.59999999999991</v>
      </c>
    </row>
    <row r="1255" customFormat="false" ht="15" hidden="false" customHeight="false" outlineLevel="0" collapsed="false">
      <c r="A1255" s="14" t="s">
        <v>102</v>
      </c>
      <c r="B1255" s="15" t="n">
        <v>46171</v>
      </c>
      <c r="C1255" s="14" t="n">
        <v>2391.36</v>
      </c>
      <c r="D1255" s="14" t="n">
        <v>1504081</v>
      </c>
      <c r="E1255" s="16" t="n">
        <f aca="false">COUNTIFS($A$2:$A$1561,A1255,$B$2:$B$1561,"&gt;"&amp;B1255)+1</f>
        <v>47</v>
      </c>
      <c r="F1255" s="16" t="n">
        <f aca="false">IF(A1255=A1254,C1255-C1254,"")</f>
        <v>-4.19000000000006</v>
      </c>
      <c r="G1255" s="16" t="n">
        <f aca="false">IF(A1255=A1254,IF(F1255&gt;0,F1255,0),"")</f>
        <v>0</v>
      </c>
      <c r="H1255" s="16" t="n">
        <f aca="false">IF(A1255=A1254,IF(F1255&lt;0,-F1255,0),"")</f>
        <v>4.19000000000006</v>
      </c>
    </row>
    <row r="1256" customFormat="false" ht="15" hidden="false" customHeight="false" outlineLevel="0" collapsed="false">
      <c r="A1256" s="14" t="s">
        <v>102</v>
      </c>
      <c r="B1256" s="15" t="n">
        <v>46174</v>
      </c>
      <c r="C1256" s="14" t="n">
        <v>2409.95</v>
      </c>
      <c r="D1256" s="14" t="n">
        <v>858688</v>
      </c>
      <c r="E1256" s="16" t="n">
        <f aca="false">COUNTIFS($A$2:$A$1561,A1256,$B$2:$B$1561,"&gt;"&amp;B1256)+1</f>
        <v>46</v>
      </c>
      <c r="F1256" s="16" t="n">
        <f aca="false">IF(A1256=A1255,C1256-C1255,"")</f>
        <v>18.5899999999997</v>
      </c>
      <c r="G1256" s="16" t="n">
        <f aca="false">IF(A1256=A1255,IF(F1256&gt;0,F1256,0),"")</f>
        <v>18.5899999999997</v>
      </c>
      <c r="H1256" s="16" t="n">
        <f aca="false">IF(A1256=A1255,IF(F1256&lt;0,-F1256,0),"")</f>
        <v>0</v>
      </c>
    </row>
    <row r="1257" customFormat="false" ht="15" hidden="false" customHeight="false" outlineLevel="0" collapsed="false">
      <c r="A1257" s="14" t="s">
        <v>102</v>
      </c>
      <c r="B1257" s="15" t="n">
        <v>46175</v>
      </c>
      <c r="C1257" s="14" t="n">
        <v>2424.46</v>
      </c>
      <c r="D1257" s="14" t="n">
        <v>2462827</v>
      </c>
      <c r="E1257" s="16" t="n">
        <f aca="false">COUNTIFS($A$2:$A$1561,A1257,$B$2:$B$1561,"&gt;"&amp;B1257)+1</f>
        <v>45</v>
      </c>
      <c r="F1257" s="16" t="n">
        <f aca="false">IF(A1257=A1256,C1257-C1256,"")</f>
        <v>14.5100000000002</v>
      </c>
      <c r="G1257" s="16" t="n">
        <f aca="false">IF(A1257=A1256,IF(F1257&gt;0,F1257,0),"")</f>
        <v>14.5100000000002</v>
      </c>
      <c r="H1257" s="16" t="n">
        <f aca="false">IF(A1257=A1256,IF(F1257&lt;0,-F1257,0),"")</f>
        <v>0</v>
      </c>
    </row>
    <row r="1258" customFormat="false" ht="15" hidden="false" customHeight="false" outlineLevel="0" collapsed="false">
      <c r="A1258" s="14" t="s">
        <v>102</v>
      </c>
      <c r="B1258" s="15" t="n">
        <v>46176</v>
      </c>
      <c r="C1258" s="14" t="n">
        <v>2445.58</v>
      </c>
      <c r="D1258" s="14" t="n">
        <v>637852</v>
      </c>
      <c r="E1258" s="16" t="n">
        <f aca="false">COUNTIFS($A$2:$A$1561,A1258,$B$2:$B$1561,"&gt;"&amp;B1258)+1</f>
        <v>44</v>
      </c>
      <c r="F1258" s="16" t="n">
        <f aca="false">IF(A1258=A1257,C1258-C1257,"")</f>
        <v>21.1199999999999</v>
      </c>
      <c r="G1258" s="16" t="n">
        <f aca="false">IF(A1258=A1257,IF(F1258&gt;0,F1258,0),"")</f>
        <v>21.1199999999999</v>
      </c>
      <c r="H1258" s="16" t="n">
        <f aca="false">IF(A1258=A1257,IF(F1258&lt;0,-F1258,0),"")</f>
        <v>0</v>
      </c>
    </row>
    <row r="1259" customFormat="false" ht="15" hidden="false" customHeight="false" outlineLevel="0" collapsed="false">
      <c r="A1259" s="14" t="s">
        <v>102</v>
      </c>
      <c r="B1259" s="15" t="n">
        <v>46177</v>
      </c>
      <c r="C1259" s="14" t="n">
        <v>2445.37</v>
      </c>
      <c r="D1259" s="14" t="n">
        <v>1064613</v>
      </c>
      <c r="E1259" s="16" t="n">
        <f aca="false">COUNTIFS($A$2:$A$1561,A1259,$B$2:$B$1561,"&gt;"&amp;B1259)+1</f>
        <v>43</v>
      </c>
      <c r="F1259" s="16" t="n">
        <f aca="false">IF(A1259=A1258,C1259-C1258,"")</f>
        <v>-0.210000000000036</v>
      </c>
      <c r="G1259" s="16" t="n">
        <f aca="false">IF(A1259=A1258,IF(F1259&gt;0,F1259,0),"")</f>
        <v>0</v>
      </c>
      <c r="H1259" s="16" t="n">
        <f aca="false">IF(A1259=A1258,IF(F1259&lt;0,-F1259,0),"")</f>
        <v>0.210000000000036</v>
      </c>
    </row>
    <row r="1260" customFormat="false" ht="15" hidden="false" customHeight="false" outlineLevel="0" collapsed="false">
      <c r="A1260" s="14" t="s">
        <v>102</v>
      </c>
      <c r="B1260" s="15" t="n">
        <v>46178</v>
      </c>
      <c r="C1260" s="14" t="n">
        <v>2461.87</v>
      </c>
      <c r="D1260" s="14" t="n">
        <v>1154601</v>
      </c>
      <c r="E1260" s="16" t="n">
        <f aca="false">COUNTIFS($A$2:$A$1561,A1260,$B$2:$B$1561,"&gt;"&amp;B1260)+1</f>
        <v>42</v>
      </c>
      <c r="F1260" s="16" t="n">
        <f aca="false">IF(A1260=A1259,C1260-C1259,"")</f>
        <v>16.5</v>
      </c>
      <c r="G1260" s="16" t="n">
        <f aca="false">IF(A1260=A1259,IF(F1260&gt;0,F1260,0),"")</f>
        <v>16.5</v>
      </c>
      <c r="H1260" s="16" t="n">
        <f aca="false">IF(A1260=A1259,IF(F1260&lt;0,-F1260,0),"")</f>
        <v>0</v>
      </c>
    </row>
    <row r="1261" customFormat="false" ht="15" hidden="false" customHeight="false" outlineLevel="0" collapsed="false">
      <c r="A1261" s="14" t="s">
        <v>102</v>
      </c>
      <c r="B1261" s="15" t="n">
        <v>46181</v>
      </c>
      <c r="C1261" s="14" t="n">
        <v>2465.55</v>
      </c>
      <c r="D1261" s="14" t="n">
        <v>515938</v>
      </c>
      <c r="E1261" s="16" t="n">
        <f aca="false">COUNTIFS($A$2:$A$1561,A1261,$B$2:$B$1561,"&gt;"&amp;B1261)+1</f>
        <v>41</v>
      </c>
      <c r="F1261" s="16" t="n">
        <f aca="false">IF(A1261=A1260,C1261-C1260,"")</f>
        <v>3.68000000000029</v>
      </c>
      <c r="G1261" s="16" t="n">
        <f aca="false">IF(A1261=A1260,IF(F1261&gt;0,F1261,0),"")</f>
        <v>3.68000000000029</v>
      </c>
      <c r="H1261" s="16" t="n">
        <f aca="false">IF(A1261=A1260,IF(F1261&lt;0,-F1261,0),"")</f>
        <v>0</v>
      </c>
    </row>
    <row r="1262" customFormat="false" ht="15" hidden="false" customHeight="false" outlineLevel="0" collapsed="false">
      <c r="A1262" s="14" t="s">
        <v>102</v>
      </c>
      <c r="B1262" s="15" t="n">
        <v>46182</v>
      </c>
      <c r="C1262" s="14" t="n">
        <v>2453.6</v>
      </c>
      <c r="D1262" s="14" t="n">
        <v>1627613</v>
      </c>
      <c r="E1262" s="16" t="n">
        <f aca="false">COUNTIFS($A$2:$A$1561,A1262,$B$2:$B$1561,"&gt;"&amp;B1262)+1</f>
        <v>40</v>
      </c>
      <c r="F1262" s="16" t="n">
        <f aca="false">IF(A1262=A1261,C1262-C1261,"")</f>
        <v>-11.9500000000003</v>
      </c>
      <c r="G1262" s="16" t="n">
        <f aca="false">IF(A1262=A1261,IF(F1262&gt;0,F1262,0),"")</f>
        <v>0</v>
      </c>
      <c r="H1262" s="16" t="n">
        <f aca="false">IF(A1262=A1261,IF(F1262&lt;0,-F1262,0),"")</f>
        <v>11.9500000000003</v>
      </c>
    </row>
    <row r="1263" customFormat="false" ht="15" hidden="false" customHeight="false" outlineLevel="0" collapsed="false">
      <c r="A1263" s="14" t="s">
        <v>102</v>
      </c>
      <c r="B1263" s="15" t="n">
        <v>46183</v>
      </c>
      <c r="C1263" s="14" t="n">
        <v>2446.26</v>
      </c>
      <c r="D1263" s="14" t="n">
        <v>1745435</v>
      </c>
      <c r="E1263" s="16" t="n">
        <f aca="false">COUNTIFS($A$2:$A$1561,A1263,$B$2:$B$1561,"&gt;"&amp;B1263)+1</f>
        <v>39</v>
      </c>
      <c r="F1263" s="16" t="n">
        <f aca="false">IF(A1263=A1262,C1263-C1262,"")</f>
        <v>-7.33999999999969</v>
      </c>
      <c r="G1263" s="16" t="n">
        <f aca="false">IF(A1263=A1262,IF(F1263&gt;0,F1263,0),"")</f>
        <v>0</v>
      </c>
      <c r="H1263" s="16" t="n">
        <f aca="false">IF(A1263=A1262,IF(F1263&lt;0,-F1263,0),"")</f>
        <v>7.33999999999969</v>
      </c>
    </row>
    <row r="1264" customFormat="false" ht="15" hidden="false" customHeight="false" outlineLevel="0" collapsed="false">
      <c r="A1264" s="14" t="s">
        <v>102</v>
      </c>
      <c r="B1264" s="15" t="n">
        <v>46184</v>
      </c>
      <c r="C1264" s="14" t="n">
        <v>2445.99</v>
      </c>
      <c r="D1264" s="14" t="n">
        <v>1683381</v>
      </c>
      <c r="E1264" s="16" t="n">
        <f aca="false">COUNTIFS($A$2:$A$1561,A1264,$B$2:$B$1561,"&gt;"&amp;B1264)+1</f>
        <v>38</v>
      </c>
      <c r="F1264" s="16" t="n">
        <f aca="false">IF(A1264=A1263,C1264-C1263,"")</f>
        <v>-0.270000000000437</v>
      </c>
      <c r="G1264" s="16" t="n">
        <f aca="false">IF(A1264=A1263,IF(F1264&gt;0,F1264,0),"")</f>
        <v>0</v>
      </c>
      <c r="H1264" s="16" t="n">
        <f aca="false">IF(A1264=A1263,IF(F1264&lt;0,-F1264,0),"")</f>
        <v>0.270000000000437</v>
      </c>
    </row>
    <row r="1265" customFormat="false" ht="15" hidden="false" customHeight="false" outlineLevel="0" collapsed="false">
      <c r="A1265" s="14" t="s">
        <v>102</v>
      </c>
      <c r="B1265" s="15" t="n">
        <v>46185</v>
      </c>
      <c r="C1265" s="14" t="n">
        <v>2447.02</v>
      </c>
      <c r="D1265" s="14" t="n">
        <v>2045226</v>
      </c>
      <c r="E1265" s="16" t="n">
        <f aca="false">COUNTIFS($A$2:$A$1561,A1265,$B$2:$B$1561,"&gt;"&amp;B1265)+1</f>
        <v>37</v>
      </c>
      <c r="F1265" s="16" t="n">
        <f aca="false">IF(A1265=A1264,C1265-C1264,"")</f>
        <v>1.0300000000002</v>
      </c>
      <c r="G1265" s="16" t="n">
        <f aca="false">IF(A1265=A1264,IF(F1265&gt;0,F1265,0),"")</f>
        <v>1.0300000000002</v>
      </c>
      <c r="H1265" s="16" t="n">
        <f aca="false">IF(A1265=A1264,IF(F1265&lt;0,-F1265,0),"")</f>
        <v>0</v>
      </c>
    </row>
    <row r="1266" customFormat="false" ht="15" hidden="false" customHeight="false" outlineLevel="0" collapsed="false">
      <c r="A1266" s="14" t="s">
        <v>102</v>
      </c>
      <c r="B1266" s="15" t="n">
        <v>46188</v>
      </c>
      <c r="C1266" s="14" t="n">
        <v>2434.93</v>
      </c>
      <c r="D1266" s="14" t="n">
        <v>2300886</v>
      </c>
      <c r="E1266" s="16" t="n">
        <f aca="false">COUNTIFS($A$2:$A$1561,A1266,$B$2:$B$1561,"&gt;"&amp;B1266)+1</f>
        <v>36</v>
      </c>
      <c r="F1266" s="16" t="n">
        <f aca="false">IF(A1266=A1265,C1266-C1265,"")</f>
        <v>-12.0900000000001</v>
      </c>
      <c r="G1266" s="16" t="n">
        <f aca="false">IF(A1266=A1265,IF(F1266&gt;0,F1266,0),"")</f>
        <v>0</v>
      </c>
      <c r="H1266" s="16" t="n">
        <f aca="false">IF(A1266=A1265,IF(F1266&lt;0,-F1266,0),"")</f>
        <v>12.0900000000001</v>
      </c>
    </row>
    <row r="1267" customFormat="false" ht="15" hidden="false" customHeight="false" outlineLevel="0" collapsed="false">
      <c r="A1267" s="14" t="s">
        <v>102</v>
      </c>
      <c r="B1267" s="15" t="n">
        <v>46189</v>
      </c>
      <c r="C1267" s="14" t="n">
        <v>2447.66</v>
      </c>
      <c r="D1267" s="14" t="n">
        <v>990253</v>
      </c>
      <c r="E1267" s="16" t="n">
        <f aca="false">COUNTIFS($A$2:$A$1561,A1267,$B$2:$B$1561,"&gt;"&amp;B1267)+1</f>
        <v>35</v>
      </c>
      <c r="F1267" s="16" t="n">
        <f aca="false">IF(A1267=A1266,C1267-C1266,"")</f>
        <v>12.73</v>
      </c>
      <c r="G1267" s="16" t="n">
        <f aca="false">IF(A1267=A1266,IF(F1267&gt;0,F1267,0),"")</f>
        <v>12.73</v>
      </c>
      <c r="H1267" s="16" t="n">
        <f aca="false">IF(A1267=A1266,IF(F1267&lt;0,-F1267,0),"")</f>
        <v>0</v>
      </c>
    </row>
    <row r="1268" customFormat="false" ht="15" hidden="false" customHeight="false" outlineLevel="0" collapsed="false">
      <c r="A1268" s="14" t="s">
        <v>102</v>
      </c>
      <c r="B1268" s="15" t="n">
        <v>46190</v>
      </c>
      <c r="C1268" s="14" t="n">
        <v>2427.23</v>
      </c>
      <c r="D1268" s="14" t="n">
        <v>1320072</v>
      </c>
      <c r="E1268" s="16" t="n">
        <f aca="false">COUNTIFS($A$2:$A$1561,A1268,$B$2:$B$1561,"&gt;"&amp;B1268)+1</f>
        <v>34</v>
      </c>
      <c r="F1268" s="16" t="n">
        <f aca="false">IF(A1268=A1267,C1268-C1267,"")</f>
        <v>-20.4299999999998</v>
      </c>
      <c r="G1268" s="16" t="n">
        <f aca="false">IF(A1268=A1267,IF(F1268&gt;0,F1268,0),"")</f>
        <v>0</v>
      </c>
      <c r="H1268" s="16" t="n">
        <f aca="false">IF(A1268=A1267,IF(F1268&lt;0,-F1268,0),"")</f>
        <v>20.4299999999998</v>
      </c>
    </row>
    <row r="1269" customFormat="false" ht="15" hidden="false" customHeight="false" outlineLevel="0" collapsed="false">
      <c r="A1269" s="14" t="s">
        <v>102</v>
      </c>
      <c r="B1269" s="15" t="n">
        <v>46191</v>
      </c>
      <c r="C1269" s="14" t="n">
        <v>2416.88</v>
      </c>
      <c r="D1269" s="14" t="n">
        <v>1192847</v>
      </c>
      <c r="E1269" s="16" t="n">
        <f aca="false">COUNTIFS($A$2:$A$1561,A1269,$B$2:$B$1561,"&gt;"&amp;B1269)+1</f>
        <v>33</v>
      </c>
      <c r="F1269" s="16" t="n">
        <f aca="false">IF(A1269=A1268,C1269-C1268,"")</f>
        <v>-10.3499999999999</v>
      </c>
      <c r="G1269" s="16" t="n">
        <f aca="false">IF(A1269=A1268,IF(F1269&gt;0,F1269,0),"")</f>
        <v>0</v>
      </c>
      <c r="H1269" s="16" t="n">
        <f aca="false">IF(A1269=A1268,IF(F1269&lt;0,-F1269,0),"")</f>
        <v>10.3499999999999</v>
      </c>
    </row>
    <row r="1270" customFormat="false" ht="15" hidden="false" customHeight="false" outlineLevel="0" collapsed="false">
      <c r="A1270" s="14" t="s">
        <v>102</v>
      </c>
      <c r="B1270" s="15" t="n">
        <v>46192</v>
      </c>
      <c r="C1270" s="14" t="n">
        <v>2432.96</v>
      </c>
      <c r="D1270" s="14" t="n">
        <v>2254397</v>
      </c>
      <c r="E1270" s="16" t="n">
        <f aca="false">COUNTIFS($A$2:$A$1561,A1270,$B$2:$B$1561,"&gt;"&amp;B1270)+1</f>
        <v>32</v>
      </c>
      <c r="F1270" s="16" t="n">
        <f aca="false">IF(A1270=A1269,C1270-C1269,"")</f>
        <v>16.0799999999999</v>
      </c>
      <c r="G1270" s="16" t="n">
        <f aca="false">IF(A1270=A1269,IF(F1270&gt;0,F1270,0),"")</f>
        <v>16.0799999999999</v>
      </c>
      <c r="H1270" s="16" t="n">
        <f aca="false">IF(A1270=A1269,IF(F1270&lt;0,-F1270,0),"")</f>
        <v>0</v>
      </c>
    </row>
    <row r="1271" customFormat="false" ht="15" hidden="false" customHeight="false" outlineLevel="0" collapsed="false">
      <c r="A1271" s="14" t="s">
        <v>102</v>
      </c>
      <c r="B1271" s="15" t="n">
        <v>46195</v>
      </c>
      <c r="C1271" s="14" t="n">
        <v>2454.02</v>
      </c>
      <c r="D1271" s="14" t="n">
        <v>502924</v>
      </c>
      <c r="E1271" s="16" t="n">
        <f aca="false">COUNTIFS($A$2:$A$1561,A1271,$B$2:$B$1561,"&gt;"&amp;B1271)+1</f>
        <v>31</v>
      </c>
      <c r="F1271" s="16" t="n">
        <f aca="false">IF(A1271=A1270,C1271-C1270,"")</f>
        <v>21.0599999999999</v>
      </c>
      <c r="G1271" s="16" t="n">
        <f aca="false">IF(A1271=A1270,IF(F1271&gt;0,F1271,0),"")</f>
        <v>21.0599999999999</v>
      </c>
      <c r="H1271" s="16" t="n">
        <f aca="false">IF(A1271=A1270,IF(F1271&lt;0,-F1271,0),"")</f>
        <v>0</v>
      </c>
    </row>
    <row r="1272" customFormat="false" ht="15" hidden="false" customHeight="false" outlineLevel="0" collapsed="false">
      <c r="A1272" s="14" t="s">
        <v>102</v>
      </c>
      <c r="B1272" s="15" t="n">
        <v>46196</v>
      </c>
      <c r="C1272" s="14" t="n">
        <v>2462.29</v>
      </c>
      <c r="D1272" s="14" t="n">
        <v>2198011</v>
      </c>
      <c r="E1272" s="16" t="n">
        <f aca="false">COUNTIFS($A$2:$A$1561,A1272,$B$2:$B$1561,"&gt;"&amp;B1272)+1</f>
        <v>30</v>
      </c>
      <c r="F1272" s="16" t="n">
        <f aca="false">IF(A1272=A1271,C1272-C1271,"")</f>
        <v>8.26999999999998</v>
      </c>
      <c r="G1272" s="16" t="n">
        <f aca="false">IF(A1272=A1271,IF(F1272&gt;0,F1272,0),"")</f>
        <v>8.26999999999998</v>
      </c>
      <c r="H1272" s="16" t="n">
        <f aca="false">IF(A1272=A1271,IF(F1272&lt;0,-F1272,0),"")</f>
        <v>0</v>
      </c>
    </row>
    <row r="1273" customFormat="false" ht="15" hidden="false" customHeight="false" outlineLevel="0" collapsed="false">
      <c r="A1273" s="14" t="s">
        <v>102</v>
      </c>
      <c r="B1273" s="15" t="n">
        <v>46197</v>
      </c>
      <c r="C1273" s="14" t="n">
        <v>2473.69</v>
      </c>
      <c r="D1273" s="14" t="n">
        <v>707898</v>
      </c>
      <c r="E1273" s="16" t="n">
        <f aca="false">COUNTIFS($A$2:$A$1561,A1273,$B$2:$B$1561,"&gt;"&amp;B1273)+1</f>
        <v>29</v>
      </c>
      <c r="F1273" s="16" t="n">
        <f aca="false">IF(A1273=A1272,C1273-C1272,"")</f>
        <v>11.4000000000001</v>
      </c>
      <c r="G1273" s="16" t="n">
        <f aca="false">IF(A1273=A1272,IF(F1273&gt;0,F1273,0),"")</f>
        <v>11.4000000000001</v>
      </c>
      <c r="H1273" s="16" t="n">
        <f aca="false">IF(A1273=A1272,IF(F1273&lt;0,-F1273,0),"")</f>
        <v>0</v>
      </c>
    </row>
    <row r="1274" customFormat="false" ht="15" hidden="false" customHeight="false" outlineLevel="0" collapsed="false">
      <c r="A1274" s="14" t="s">
        <v>102</v>
      </c>
      <c r="B1274" s="15" t="n">
        <v>46198</v>
      </c>
      <c r="C1274" s="14" t="n">
        <v>2476.36</v>
      </c>
      <c r="D1274" s="14" t="n">
        <v>976335</v>
      </c>
      <c r="E1274" s="16" t="n">
        <f aca="false">COUNTIFS($A$2:$A$1561,A1274,$B$2:$B$1561,"&gt;"&amp;B1274)+1</f>
        <v>28</v>
      </c>
      <c r="F1274" s="16" t="n">
        <f aca="false">IF(A1274=A1273,C1274-C1273,"")</f>
        <v>2.67000000000007</v>
      </c>
      <c r="G1274" s="16" t="n">
        <f aca="false">IF(A1274=A1273,IF(F1274&gt;0,F1274,0),"")</f>
        <v>2.67000000000007</v>
      </c>
      <c r="H1274" s="16" t="n">
        <f aca="false">IF(A1274=A1273,IF(F1274&lt;0,-F1274,0),"")</f>
        <v>0</v>
      </c>
    </row>
    <row r="1275" customFormat="false" ht="15" hidden="false" customHeight="false" outlineLevel="0" collapsed="false">
      <c r="A1275" s="14" t="s">
        <v>102</v>
      </c>
      <c r="B1275" s="15" t="n">
        <v>46199</v>
      </c>
      <c r="C1275" s="14" t="n">
        <v>2477.34</v>
      </c>
      <c r="D1275" s="14" t="n">
        <v>619790</v>
      </c>
      <c r="E1275" s="16" t="n">
        <f aca="false">COUNTIFS($A$2:$A$1561,A1275,$B$2:$B$1561,"&gt;"&amp;B1275)+1</f>
        <v>27</v>
      </c>
      <c r="F1275" s="16" t="n">
        <f aca="false">IF(A1275=A1274,C1275-C1274,"")</f>
        <v>0.980000000000018</v>
      </c>
      <c r="G1275" s="16" t="n">
        <f aca="false">IF(A1275=A1274,IF(F1275&gt;0,F1275,0),"")</f>
        <v>0.980000000000018</v>
      </c>
      <c r="H1275" s="16" t="n">
        <f aca="false">IF(A1275=A1274,IF(F1275&lt;0,-F1275,0),"")</f>
        <v>0</v>
      </c>
    </row>
    <row r="1276" customFormat="false" ht="15" hidden="false" customHeight="false" outlineLevel="0" collapsed="false">
      <c r="A1276" s="14" t="s">
        <v>102</v>
      </c>
      <c r="B1276" s="15" t="n">
        <v>46202</v>
      </c>
      <c r="C1276" s="14" t="n">
        <v>2500.84</v>
      </c>
      <c r="D1276" s="14" t="n">
        <v>1923304</v>
      </c>
      <c r="E1276" s="16" t="n">
        <f aca="false">COUNTIFS($A$2:$A$1561,A1276,$B$2:$B$1561,"&gt;"&amp;B1276)+1</f>
        <v>26</v>
      </c>
      <c r="F1276" s="16" t="n">
        <f aca="false">IF(A1276=A1275,C1276-C1275,"")</f>
        <v>23.5</v>
      </c>
      <c r="G1276" s="16" t="n">
        <f aca="false">IF(A1276=A1275,IF(F1276&gt;0,F1276,0),"")</f>
        <v>23.5</v>
      </c>
      <c r="H1276" s="16" t="n">
        <f aca="false">IF(A1276=A1275,IF(F1276&lt;0,-F1276,0),"")</f>
        <v>0</v>
      </c>
    </row>
    <row r="1277" customFormat="false" ht="15" hidden="false" customHeight="false" outlineLevel="0" collapsed="false">
      <c r="A1277" s="14" t="s">
        <v>102</v>
      </c>
      <c r="B1277" s="15" t="n">
        <v>46203</v>
      </c>
      <c r="C1277" s="14" t="n">
        <v>2483.87</v>
      </c>
      <c r="D1277" s="14" t="n">
        <v>2342548</v>
      </c>
      <c r="E1277" s="16" t="n">
        <f aca="false">COUNTIFS($A$2:$A$1561,A1277,$B$2:$B$1561,"&gt;"&amp;B1277)+1</f>
        <v>25</v>
      </c>
      <c r="F1277" s="16" t="n">
        <f aca="false">IF(A1277=A1276,C1277-C1276,"")</f>
        <v>-16.9700000000003</v>
      </c>
      <c r="G1277" s="16" t="n">
        <f aca="false">IF(A1277=A1276,IF(F1277&gt;0,F1277,0),"")</f>
        <v>0</v>
      </c>
      <c r="H1277" s="16" t="n">
        <f aca="false">IF(A1277=A1276,IF(F1277&lt;0,-F1277,0),"")</f>
        <v>16.9700000000003</v>
      </c>
    </row>
    <row r="1278" customFormat="false" ht="15" hidden="false" customHeight="false" outlineLevel="0" collapsed="false">
      <c r="A1278" s="14" t="s">
        <v>102</v>
      </c>
      <c r="B1278" s="15" t="n">
        <v>46204</v>
      </c>
      <c r="C1278" s="14" t="n">
        <v>2502.97</v>
      </c>
      <c r="D1278" s="14" t="n">
        <v>1539518</v>
      </c>
      <c r="E1278" s="16" t="n">
        <f aca="false">COUNTIFS($A$2:$A$1561,A1278,$B$2:$B$1561,"&gt;"&amp;B1278)+1</f>
        <v>24</v>
      </c>
      <c r="F1278" s="16" t="n">
        <f aca="false">IF(A1278=A1277,C1278-C1277,"")</f>
        <v>19.0999999999999</v>
      </c>
      <c r="G1278" s="16" t="n">
        <f aca="false">IF(A1278=A1277,IF(F1278&gt;0,F1278,0),"")</f>
        <v>19.0999999999999</v>
      </c>
      <c r="H1278" s="16" t="n">
        <f aca="false">IF(A1278=A1277,IF(F1278&lt;0,-F1278,0),"")</f>
        <v>0</v>
      </c>
    </row>
    <row r="1279" customFormat="false" ht="15" hidden="false" customHeight="false" outlineLevel="0" collapsed="false">
      <c r="A1279" s="14" t="s">
        <v>102</v>
      </c>
      <c r="B1279" s="15" t="n">
        <v>46205</v>
      </c>
      <c r="C1279" s="14" t="n">
        <v>2513.37</v>
      </c>
      <c r="D1279" s="14" t="n">
        <v>1244983</v>
      </c>
      <c r="E1279" s="16" t="n">
        <f aca="false">COUNTIFS($A$2:$A$1561,A1279,$B$2:$B$1561,"&gt;"&amp;B1279)+1</f>
        <v>23</v>
      </c>
      <c r="F1279" s="16" t="n">
        <f aca="false">IF(A1279=A1278,C1279-C1278,"")</f>
        <v>10.4000000000001</v>
      </c>
      <c r="G1279" s="16" t="n">
        <f aca="false">IF(A1279=A1278,IF(F1279&gt;0,F1279,0),"")</f>
        <v>10.4000000000001</v>
      </c>
      <c r="H1279" s="16" t="n">
        <f aca="false">IF(A1279=A1278,IF(F1279&lt;0,-F1279,0),"")</f>
        <v>0</v>
      </c>
    </row>
    <row r="1280" customFormat="false" ht="15" hidden="false" customHeight="false" outlineLevel="0" collapsed="false">
      <c r="A1280" s="14" t="s">
        <v>102</v>
      </c>
      <c r="B1280" s="15" t="n">
        <v>46206</v>
      </c>
      <c r="C1280" s="14" t="n">
        <v>2536.2</v>
      </c>
      <c r="D1280" s="14" t="n">
        <v>669804</v>
      </c>
      <c r="E1280" s="16" t="n">
        <f aca="false">COUNTIFS($A$2:$A$1561,A1280,$B$2:$B$1561,"&gt;"&amp;B1280)+1</f>
        <v>22</v>
      </c>
      <c r="F1280" s="16" t="n">
        <f aca="false">IF(A1280=A1279,C1280-C1279,"")</f>
        <v>22.8299999999999</v>
      </c>
      <c r="G1280" s="16" t="n">
        <f aca="false">IF(A1280=A1279,IF(F1280&gt;0,F1280,0),"")</f>
        <v>22.8299999999999</v>
      </c>
      <c r="H1280" s="16" t="n">
        <f aca="false">IF(A1280=A1279,IF(F1280&lt;0,-F1280,0),"")</f>
        <v>0</v>
      </c>
    </row>
    <row r="1281" customFormat="false" ht="15" hidden="false" customHeight="false" outlineLevel="0" collapsed="false">
      <c r="A1281" s="14" t="s">
        <v>102</v>
      </c>
      <c r="B1281" s="15" t="n">
        <v>46209</v>
      </c>
      <c r="C1281" s="14" t="n">
        <v>2519.11</v>
      </c>
      <c r="D1281" s="14" t="n">
        <v>767027</v>
      </c>
      <c r="E1281" s="16" t="n">
        <f aca="false">COUNTIFS($A$2:$A$1561,A1281,$B$2:$B$1561,"&gt;"&amp;B1281)+1</f>
        <v>21</v>
      </c>
      <c r="F1281" s="16" t="n">
        <f aca="false">IF(A1281=A1280,C1281-C1280,"")</f>
        <v>-17.0899999999997</v>
      </c>
      <c r="G1281" s="16" t="n">
        <f aca="false">IF(A1281=A1280,IF(F1281&gt;0,F1281,0),"")</f>
        <v>0</v>
      </c>
      <c r="H1281" s="16" t="n">
        <f aca="false">IF(A1281=A1280,IF(F1281&lt;0,-F1281,0),"")</f>
        <v>17.0899999999997</v>
      </c>
    </row>
    <row r="1282" customFormat="false" ht="15" hidden="false" customHeight="false" outlineLevel="0" collapsed="false">
      <c r="A1282" s="14" t="s">
        <v>102</v>
      </c>
      <c r="B1282" s="15" t="n">
        <v>46210</v>
      </c>
      <c r="C1282" s="14" t="n">
        <v>2534.97</v>
      </c>
      <c r="D1282" s="14" t="n">
        <v>649660</v>
      </c>
      <c r="E1282" s="16" t="n">
        <f aca="false">COUNTIFS($A$2:$A$1561,A1282,$B$2:$B$1561,"&gt;"&amp;B1282)+1</f>
        <v>20</v>
      </c>
      <c r="F1282" s="16" t="n">
        <f aca="false">IF(A1282=A1281,C1282-C1281,"")</f>
        <v>15.8599999999997</v>
      </c>
      <c r="G1282" s="16" t="n">
        <f aca="false">IF(A1282=A1281,IF(F1282&gt;0,F1282,0),"")</f>
        <v>15.8599999999997</v>
      </c>
      <c r="H1282" s="16" t="n">
        <f aca="false">IF(A1282=A1281,IF(F1282&lt;0,-F1282,0),"")</f>
        <v>0</v>
      </c>
    </row>
    <row r="1283" customFormat="false" ht="15" hidden="false" customHeight="false" outlineLevel="0" collapsed="false">
      <c r="A1283" s="14" t="s">
        <v>102</v>
      </c>
      <c r="B1283" s="15" t="n">
        <v>46211</v>
      </c>
      <c r="C1283" s="14" t="n">
        <v>2539.44</v>
      </c>
      <c r="D1283" s="14" t="n">
        <v>1369965</v>
      </c>
      <c r="E1283" s="16" t="n">
        <f aca="false">COUNTIFS($A$2:$A$1561,A1283,$B$2:$B$1561,"&gt;"&amp;B1283)+1</f>
        <v>19</v>
      </c>
      <c r="F1283" s="16" t="n">
        <f aca="false">IF(A1283=A1282,C1283-C1282,"")</f>
        <v>4.47000000000026</v>
      </c>
      <c r="G1283" s="16" t="n">
        <f aca="false">IF(A1283=A1282,IF(F1283&gt;0,F1283,0),"")</f>
        <v>4.47000000000026</v>
      </c>
      <c r="H1283" s="16" t="n">
        <f aca="false">IF(A1283=A1282,IF(F1283&lt;0,-F1283,0),"")</f>
        <v>0</v>
      </c>
    </row>
    <row r="1284" customFormat="false" ht="15" hidden="false" customHeight="false" outlineLevel="0" collapsed="false">
      <c r="A1284" s="14" t="s">
        <v>102</v>
      </c>
      <c r="B1284" s="15" t="n">
        <v>46212</v>
      </c>
      <c r="C1284" s="14" t="n">
        <v>2562.03</v>
      </c>
      <c r="D1284" s="14" t="n">
        <v>973543</v>
      </c>
      <c r="E1284" s="16" t="n">
        <f aca="false">COUNTIFS($A$2:$A$1561,A1284,$B$2:$B$1561,"&gt;"&amp;B1284)+1</f>
        <v>18</v>
      </c>
      <c r="F1284" s="16" t="n">
        <f aca="false">IF(A1284=A1283,C1284-C1283,"")</f>
        <v>22.5900000000001</v>
      </c>
      <c r="G1284" s="16" t="n">
        <f aca="false">IF(A1284=A1283,IF(F1284&gt;0,F1284,0),"")</f>
        <v>22.5900000000001</v>
      </c>
      <c r="H1284" s="16" t="n">
        <f aca="false">IF(A1284=A1283,IF(F1284&lt;0,-F1284,0),"")</f>
        <v>0</v>
      </c>
    </row>
    <row r="1285" customFormat="false" ht="15" hidden="false" customHeight="false" outlineLevel="0" collapsed="false">
      <c r="A1285" s="14" t="s">
        <v>102</v>
      </c>
      <c r="B1285" s="15" t="n">
        <v>46213</v>
      </c>
      <c r="C1285" s="14" t="n">
        <v>2552.39</v>
      </c>
      <c r="D1285" s="14" t="n">
        <v>1130017</v>
      </c>
      <c r="E1285" s="16" t="n">
        <f aca="false">COUNTIFS($A$2:$A$1561,A1285,$B$2:$B$1561,"&gt;"&amp;B1285)+1</f>
        <v>17</v>
      </c>
      <c r="F1285" s="16" t="n">
        <f aca="false">IF(A1285=A1284,C1285-C1284,"")</f>
        <v>-9.64000000000033</v>
      </c>
      <c r="G1285" s="16" t="n">
        <f aca="false">IF(A1285=A1284,IF(F1285&gt;0,F1285,0),"")</f>
        <v>0</v>
      </c>
      <c r="H1285" s="16" t="n">
        <f aca="false">IF(A1285=A1284,IF(F1285&lt;0,-F1285,0),"")</f>
        <v>9.64000000000033</v>
      </c>
    </row>
    <row r="1286" customFormat="false" ht="15" hidden="false" customHeight="false" outlineLevel="0" collapsed="false">
      <c r="A1286" s="14" t="s">
        <v>102</v>
      </c>
      <c r="B1286" s="15" t="n">
        <v>46216</v>
      </c>
      <c r="C1286" s="14" t="n">
        <v>2567.59</v>
      </c>
      <c r="D1286" s="14" t="n">
        <v>1901451</v>
      </c>
      <c r="E1286" s="16" t="n">
        <f aca="false">COUNTIFS($A$2:$A$1561,A1286,$B$2:$B$1561,"&gt;"&amp;B1286)+1</f>
        <v>16</v>
      </c>
      <c r="F1286" s="16" t="n">
        <f aca="false">IF(A1286=A1285,C1286-C1285,"")</f>
        <v>15.2000000000003</v>
      </c>
      <c r="G1286" s="16" t="n">
        <f aca="false">IF(A1286=A1285,IF(F1286&gt;0,F1286,0),"")</f>
        <v>15.2000000000003</v>
      </c>
      <c r="H1286" s="16" t="n">
        <f aca="false">IF(A1286=A1285,IF(F1286&lt;0,-F1286,0),"")</f>
        <v>0</v>
      </c>
    </row>
    <row r="1287" customFormat="false" ht="15" hidden="false" customHeight="false" outlineLevel="0" collapsed="false">
      <c r="A1287" s="14" t="s">
        <v>102</v>
      </c>
      <c r="B1287" s="15" t="n">
        <v>46217</v>
      </c>
      <c r="C1287" s="14" t="n">
        <v>2579.85</v>
      </c>
      <c r="D1287" s="14" t="n">
        <v>1136115</v>
      </c>
      <c r="E1287" s="16" t="n">
        <f aca="false">COUNTIFS($A$2:$A$1561,A1287,$B$2:$B$1561,"&gt;"&amp;B1287)+1</f>
        <v>15</v>
      </c>
      <c r="F1287" s="16" t="n">
        <f aca="false">IF(A1287=A1286,C1287-C1286,"")</f>
        <v>12.2599999999998</v>
      </c>
      <c r="G1287" s="16" t="n">
        <f aca="false">IF(A1287=A1286,IF(F1287&gt;0,F1287,0),"")</f>
        <v>12.2599999999998</v>
      </c>
      <c r="H1287" s="16" t="n">
        <f aca="false">IF(A1287=A1286,IF(F1287&lt;0,-F1287,0),"")</f>
        <v>0</v>
      </c>
    </row>
    <row r="1288" customFormat="false" ht="15" hidden="false" customHeight="false" outlineLevel="0" collapsed="false">
      <c r="A1288" s="14" t="s">
        <v>102</v>
      </c>
      <c r="B1288" s="15" t="n">
        <v>46218</v>
      </c>
      <c r="C1288" s="14" t="n">
        <v>2570.66</v>
      </c>
      <c r="D1288" s="14" t="n">
        <v>649374</v>
      </c>
      <c r="E1288" s="16" t="n">
        <f aca="false">COUNTIFS($A$2:$A$1561,A1288,$B$2:$B$1561,"&gt;"&amp;B1288)+1</f>
        <v>14</v>
      </c>
      <c r="F1288" s="16" t="n">
        <f aca="false">IF(A1288=A1287,C1288-C1287,"")</f>
        <v>-9.19000000000006</v>
      </c>
      <c r="G1288" s="16" t="n">
        <f aca="false">IF(A1288=A1287,IF(F1288&gt;0,F1288,0),"")</f>
        <v>0</v>
      </c>
      <c r="H1288" s="16" t="n">
        <f aca="false">IF(A1288=A1287,IF(F1288&lt;0,-F1288,0),"")</f>
        <v>9.19000000000006</v>
      </c>
    </row>
    <row r="1289" customFormat="false" ht="15" hidden="false" customHeight="false" outlineLevel="0" collapsed="false">
      <c r="A1289" s="14" t="s">
        <v>102</v>
      </c>
      <c r="B1289" s="15" t="n">
        <v>46219</v>
      </c>
      <c r="C1289" s="14" t="n">
        <v>2558.29</v>
      </c>
      <c r="D1289" s="14" t="n">
        <v>2059873</v>
      </c>
      <c r="E1289" s="16" t="n">
        <f aca="false">COUNTIFS($A$2:$A$1561,A1289,$B$2:$B$1561,"&gt;"&amp;B1289)+1</f>
        <v>13</v>
      </c>
      <c r="F1289" s="16" t="n">
        <f aca="false">IF(A1289=A1288,C1289-C1288,"")</f>
        <v>-12.3699999999999</v>
      </c>
      <c r="G1289" s="16" t="n">
        <f aca="false">IF(A1289=A1288,IF(F1289&gt;0,F1289,0),"")</f>
        <v>0</v>
      </c>
      <c r="H1289" s="16" t="n">
        <f aca="false">IF(A1289=A1288,IF(F1289&lt;0,-F1289,0),"")</f>
        <v>12.3699999999999</v>
      </c>
    </row>
    <row r="1290" customFormat="false" ht="15" hidden="false" customHeight="false" outlineLevel="0" collapsed="false">
      <c r="A1290" s="14" t="s">
        <v>102</v>
      </c>
      <c r="B1290" s="15" t="n">
        <v>46220</v>
      </c>
      <c r="C1290" s="14" t="n">
        <v>2563.57</v>
      </c>
      <c r="D1290" s="14" t="n">
        <v>810821</v>
      </c>
      <c r="E1290" s="16" t="n">
        <f aca="false">COUNTIFS($A$2:$A$1561,A1290,$B$2:$B$1561,"&gt;"&amp;B1290)+1</f>
        <v>12</v>
      </c>
      <c r="F1290" s="16" t="n">
        <f aca="false">IF(A1290=A1289,C1290-C1289,"")</f>
        <v>5.2800000000002</v>
      </c>
      <c r="G1290" s="16" t="n">
        <f aca="false">IF(A1290=A1289,IF(F1290&gt;0,F1290,0),"")</f>
        <v>5.2800000000002</v>
      </c>
      <c r="H1290" s="16" t="n">
        <f aca="false">IF(A1290=A1289,IF(F1290&lt;0,-F1290,0),"")</f>
        <v>0</v>
      </c>
    </row>
    <row r="1291" customFormat="false" ht="15" hidden="false" customHeight="false" outlineLevel="0" collapsed="false">
      <c r="A1291" s="14" t="s">
        <v>102</v>
      </c>
      <c r="B1291" s="15" t="n">
        <v>46223</v>
      </c>
      <c r="C1291" s="14" t="n">
        <v>2549.47</v>
      </c>
      <c r="D1291" s="14" t="n">
        <v>1432110</v>
      </c>
      <c r="E1291" s="16" t="n">
        <f aca="false">COUNTIFS($A$2:$A$1561,A1291,$B$2:$B$1561,"&gt;"&amp;B1291)+1</f>
        <v>11</v>
      </c>
      <c r="F1291" s="16" t="n">
        <f aca="false">IF(A1291=A1290,C1291-C1290,"")</f>
        <v>-14.1000000000004</v>
      </c>
      <c r="G1291" s="16" t="n">
        <f aca="false">IF(A1291=A1290,IF(F1291&gt;0,F1291,0),"")</f>
        <v>0</v>
      </c>
      <c r="H1291" s="16" t="n">
        <f aca="false">IF(A1291=A1290,IF(F1291&lt;0,-F1291,0),"")</f>
        <v>14.1000000000004</v>
      </c>
    </row>
    <row r="1292" customFormat="false" ht="15" hidden="false" customHeight="false" outlineLevel="0" collapsed="false">
      <c r="A1292" s="14" t="s">
        <v>102</v>
      </c>
      <c r="B1292" s="15" t="n">
        <v>46224</v>
      </c>
      <c r="C1292" s="14" t="n">
        <v>2546.55</v>
      </c>
      <c r="D1292" s="14" t="n">
        <v>1571849</v>
      </c>
      <c r="E1292" s="16" t="n">
        <f aca="false">COUNTIFS($A$2:$A$1561,A1292,$B$2:$B$1561,"&gt;"&amp;B1292)+1</f>
        <v>10</v>
      </c>
      <c r="F1292" s="16" t="n">
        <f aca="false">IF(A1292=A1291,C1292-C1291,"")</f>
        <v>-2.91999999999962</v>
      </c>
      <c r="G1292" s="16" t="n">
        <f aca="false">IF(A1292=A1291,IF(F1292&gt;0,F1292,0),"")</f>
        <v>0</v>
      </c>
      <c r="H1292" s="16" t="n">
        <f aca="false">IF(A1292=A1291,IF(F1292&lt;0,-F1292,0),"")</f>
        <v>2.91999999999962</v>
      </c>
    </row>
    <row r="1293" customFormat="false" ht="15" hidden="false" customHeight="false" outlineLevel="0" collapsed="false">
      <c r="A1293" s="14" t="s">
        <v>102</v>
      </c>
      <c r="B1293" s="15" t="n">
        <v>46225</v>
      </c>
      <c r="C1293" s="14" t="n">
        <v>2569.23</v>
      </c>
      <c r="D1293" s="14" t="n">
        <v>915272</v>
      </c>
      <c r="E1293" s="16" t="n">
        <f aca="false">COUNTIFS($A$2:$A$1561,A1293,$B$2:$B$1561,"&gt;"&amp;B1293)+1</f>
        <v>9</v>
      </c>
      <c r="F1293" s="16" t="n">
        <f aca="false">IF(A1293=A1292,C1293-C1292,"")</f>
        <v>22.6799999999998</v>
      </c>
      <c r="G1293" s="16" t="n">
        <f aca="false">IF(A1293=A1292,IF(F1293&gt;0,F1293,0),"")</f>
        <v>22.6799999999998</v>
      </c>
      <c r="H1293" s="16" t="n">
        <f aca="false">IF(A1293=A1292,IF(F1293&lt;0,-F1293,0),"")</f>
        <v>0</v>
      </c>
    </row>
    <row r="1294" customFormat="false" ht="15" hidden="false" customHeight="false" outlineLevel="0" collapsed="false">
      <c r="A1294" s="14" t="s">
        <v>102</v>
      </c>
      <c r="B1294" s="15" t="n">
        <v>46226</v>
      </c>
      <c r="C1294" s="14" t="n">
        <v>2561.75</v>
      </c>
      <c r="D1294" s="14" t="n">
        <v>1030015</v>
      </c>
      <c r="E1294" s="16" t="n">
        <f aca="false">COUNTIFS($A$2:$A$1561,A1294,$B$2:$B$1561,"&gt;"&amp;B1294)+1</f>
        <v>8</v>
      </c>
      <c r="F1294" s="16" t="n">
        <f aca="false">IF(A1294=A1293,C1294-C1293,"")</f>
        <v>-7.48000000000002</v>
      </c>
      <c r="G1294" s="16" t="n">
        <f aca="false">IF(A1294=A1293,IF(F1294&gt;0,F1294,0),"")</f>
        <v>0</v>
      </c>
      <c r="H1294" s="16" t="n">
        <f aca="false">IF(A1294=A1293,IF(F1294&lt;0,-F1294,0),"")</f>
        <v>7.48000000000002</v>
      </c>
    </row>
    <row r="1295" customFormat="false" ht="15" hidden="false" customHeight="false" outlineLevel="0" collapsed="false">
      <c r="A1295" s="14" t="s">
        <v>102</v>
      </c>
      <c r="B1295" s="15" t="n">
        <v>46227</v>
      </c>
      <c r="C1295" s="14" t="n">
        <v>2545.61</v>
      </c>
      <c r="D1295" s="14" t="n">
        <v>815230</v>
      </c>
      <c r="E1295" s="16" t="n">
        <f aca="false">COUNTIFS($A$2:$A$1561,A1295,$B$2:$B$1561,"&gt;"&amp;B1295)+1</f>
        <v>7</v>
      </c>
      <c r="F1295" s="16" t="n">
        <f aca="false">IF(A1295=A1294,C1295-C1294,"")</f>
        <v>-16.1399999999999</v>
      </c>
      <c r="G1295" s="16" t="n">
        <f aca="false">IF(A1295=A1294,IF(F1295&gt;0,F1295,0),"")</f>
        <v>0</v>
      </c>
      <c r="H1295" s="16" t="n">
        <f aca="false">IF(A1295=A1294,IF(F1295&lt;0,-F1295,0),"")</f>
        <v>16.1399999999999</v>
      </c>
    </row>
    <row r="1296" customFormat="false" ht="15" hidden="false" customHeight="false" outlineLevel="0" collapsed="false">
      <c r="A1296" s="14" t="s">
        <v>102</v>
      </c>
      <c r="B1296" s="15" t="n">
        <v>46230</v>
      </c>
      <c r="C1296" s="14" t="n">
        <v>2555.51</v>
      </c>
      <c r="D1296" s="14" t="n">
        <v>2152773</v>
      </c>
      <c r="E1296" s="16" t="n">
        <f aca="false">COUNTIFS($A$2:$A$1561,A1296,$B$2:$B$1561,"&gt;"&amp;B1296)+1</f>
        <v>6</v>
      </c>
      <c r="F1296" s="16" t="n">
        <f aca="false">IF(A1296=A1295,C1296-C1295,"")</f>
        <v>9.90000000000009</v>
      </c>
      <c r="G1296" s="16" t="n">
        <f aca="false">IF(A1296=A1295,IF(F1296&gt;0,F1296,0),"")</f>
        <v>9.90000000000009</v>
      </c>
      <c r="H1296" s="16" t="n">
        <f aca="false">IF(A1296=A1295,IF(F1296&lt;0,-F1296,0),"")</f>
        <v>0</v>
      </c>
    </row>
    <row r="1297" customFormat="false" ht="15" hidden="false" customHeight="false" outlineLevel="0" collapsed="false">
      <c r="A1297" s="14" t="s">
        <v>102</v>
      </c>
      <c r="B1297" s="15" t="n">
        <v>46231</v>
      </c>
      <c r="C1297" s="14" t="n">
        <v>2565.94</v>
      </c>
      <c r="D1297" s="14" t="n">
        <v>580659</v>
      </c>
      <c r="E1297" s="16" t="n">
        <f aca="false">COUNTIFS($A$2:$A$1561,A1297,$B$2:$B$1561,"&gt;"&amp;B1297)+1</f>
        <v>5</v>
      </c>
      <c r="F1297" s="16" t="n">
        <f aca="false">IF(A1297=A1296,C1297-C1296,"")</f>
        <v>10.4299999999998</v>
      </c>
      <c r="G1297" s="16" t="n">
        <f aca="false">IF(A1297=A1296,IF(F1297&gt;0,F1297,0),"")</f>
        <v>10.4299999999998</v>
      </c>
      <c r="H1297" s="16" t="n">
        <f aca="false">IF(A1297=A1296,IF(F1297&lt;0,-F1297,0),"")</f>
        <v>0</v>
      </c>
    </row>
    <row r="1298" customFormat="false" ht="15" hidden="false" customHeight="false" outlineLevel="0" collapsed="false">
      <c r="A1298" s="14" t="s">
        <v>102</v>
      </c>
      <c r="B1298" s="15" t="n">
        <v>46232</v>
      </c>
      <c r="C1298" s="14" t="n">
        <v>2582.84</v>
      </c>
      <c r="D1298" s="14" t="n">
        <v>1155587</v>
      </c>
      <c r="E1298" s="16" t="n">
        <f aca="false">COUNTIFS($A$2:$A$1561,A1298,$B$2:$B$1561,"&gt;"&amp;B1298)+1</f>
        <v>4</v>
      </c>
      <c r="F1298" s="16" t="n">
        <f aca="false">IF(A1298=A1297,C1298-C1297,"")</f>
        <v>16.9000000000001</v>
      </c>
      <c r="G1298" s="16" t="n">
        <f aca="false">IF(A1298=A1297,IF(F1298&gt;0,F1298,0),"")</f>
        <v>16.9000000000001</v>
      </c>
      <c r="H1298" s="16" t="n">
        <f aca="false">IF(A1298=A1297,IF(F1298&lt;0,-F1298,0),"")</f>
        <v>0</v>
      </c>
    </row>
    <row r="1299" customFormat="false" ht="15" hidden="false" customHeight="false" outlineLevel="0" collapsed="false">
      <c r="A1299" s="14" t="s">
        <v>102</v>
      </c>
      <c r="B1299" s="15" t="n">
        <v>46233</v>
      </c>
      <c r="C1299" s="14" t="n">
        <v>2565.23</v>
      </c>
      <c r="D1299" s="14" t="n">
        <v>996437</v>
      </c>
      <c r="E1299" s="16" t="n">
        <f aca="false">COUNTIFS($A$2:$A$1561,A1299,$B$2:$B$1561,"&gt;"&amp;B1299)+1</f>
        <v>3</v>
      </c>
      <c r="F1299" s="16" t="n">
        <f aca="false">IF(A1299=A1298,C1299-C1298,"")</f>
        <v>-17.6100000000001</v>
      </c>
      <c r="G1299" s="16" t="n">
        <f aca="false">IF(A1299=A1298,IF(F1299&gt;0,F1299,0),"")</f>
        <v>0</v>
      </c>
      <c r="H1299" s="16" t="n">
        <f aca="false">IF(A1299=A1298,IF(F1299&lt;0,-F1299,0),"")</f>
        <v>17.6100000000001</v>
      </c>
    </row>
    <row r="1300" customFormat="false" ht="15" hidden="false" customHeight="false" outlineLevel="0" collapsed="false">
      <c r="A1300" s="14" t="s">
        <v>102</v>
      </c>
      <c r="B1300" s="15" t="n">
        <v>46234</v>
      </c>
      <c r="C1300" s="14" t="n">
        <v>2559.96</v>
      </c>
      <c r="D1300" s="14" t="n">
        <v>1526919</v>
      </c>
      <c r="E1300" s="16" t="n">
        <f aca="false">COUNTIFS($A$2:$A$1561,A1300,$B$2:$B$1561,"&gt;"&amp;B1300)+1</f>
        <v>2</v>
      </c>
      <c r="F1300" s="16" t="n">
        <f aca="false">IF(A1300=A1299,C1300-C1299,"")</f>
        <v>-5.26999999999998</v>
      </c>
      <c r="G1300" s="16" t="n">
        <f aca="false">IF(A1300=A1299,IF(F1300&gt;0,F1300,0),"")</f>
        <v>0</v>
      </c>
      <c r="H1300" s="16" t="n">
        <f aca="false">IF(A1300=A1299,IF(F1300&lt;0,-F1300,0),"")</f>
        <v>5.26999999999998</v>
      </c>
    </row>
    <row r="1301" customFormat="false" ht="15" hidden="false" customHeight="false" outlineLevel="0" collapsed="false">
      <c r="A1301" s="14" t="s">
        <v>102</v>
      </c>
      <c r="B1301" s="15" t="n">
        <v>46237</v>
      </c>
      <c r="C1301" s="14" t="n">
        <v>2569.5</v>
      </c>
      <c r="D1301" s="14" t="n">
        <v>1020333</v>
      </c>
      <c r="E1301" s="16" t="n">
        <f aca="false">COUNTIFS($A$2:$A$1561,A1301,$B$2:$B$1561,"&gt;"&amp;B1301)+1</f>
        <v>1</v>
      </c>
      <c r="F1301" s="16" t="n">
        <f aca="false">IF(A1301=A1300,C1301-C1300,"")</f>
        <v>9.53999999999996</v>
      </c>
      <c r="G1301" s="16" t="n">
        <f aca="false">IF(A1301=A1300,IF(F1301&gt;0,F1301,0),"")</f>
        <v>9.53999999999996</v>
      </c>
      <c r="H1301" s="16" t="n">
        <f aca="false">IF(A1301=A1300,IF(F1301&lt;0,-F1301,0),"")</f>
        <v>0</v>
      </c>
    </row>
    <row r="1302" customFormat="false" ht="15" hidden="false" customHeight="false" outlineLevel="0" collapsed="false">
      <c r="A1302" s="14" t="s">
        <v>105</v>
      </c>
      <c r="B1302" s="15" t="n">
        <v>45874</v>
      </c>
      <c r="C1302" s="14" t="n">
        <v>1534.25</v>
      </c>
      <c r="D1302" s="14" t="n">
        <v>562164</v>
      </c>
      <c r="E1302" s="16" t="n">
        <f aca="false">COUNTIFS($A$2:$A$1561,A1302,$B$2:$B$1561,"&gt;"&amp;B1302)+1</f>
        <v>260</v>
      </c>
      <c r="F1302" s="16" t="str">
        <f aca="false">IF(A1302=A1301,C1302-C1301,"")</f>
        <v/>
      </c>
      <c r="G1302" s="16" t="str">
        <f aca="false">IF(A1302=A1301,IF(F1302&gt;0,F1302,0),"")</f>
        <v/>
      </c>
      <c r="H1302" s="16" t="str">
        <f aca="false">IF(A1302=A1301,IF(F1302&lt;0,-F1302,0),"")</f>
        <v/>
      </c>
    </row>
    <row r="1303" customFormat="false" ht="15" hidden="false" customHeight="false" outlineLevel="0" collapsed="false">
      <c r="A1303" s="14" t="s">
        <v>105</v>
      </c>
      <c r="B1303" s="15" t="n">
        <v>45875</v>
      </c>
      <c r="C1303" s="14" t="n">
        <v>1532.43</v>
      </c>
      <c r="D1303" s="14" t="n">
        <v>1404402</v>
      </c>
      <c r="E1303" s="16" t="n">
        <f aca="false">COUNTIFS($A$2:$A$1561,A1303,$B$2:$B$1561,"&gt;"&amp;B1303)+1</f>
        <v>259</v>
      </c>
      <c r="F1303" s="16" t="n">
        <f aca="false">IF(A1303=A1302,C1303-C1302,"")</f>
        <v>-1.81999999999994</v>
      </c>
      <c r="G1303" s="16" t="n">
        <f aca="false">IF(A1303=A1302,IF(F1303&gt;0,F1303,0),"")</f>
        <v>0</v>
      </c>
      <c r="H1303" s="16" t="n">
        <f aca="false">IF(A1303=A1302,IF(F1303&lt;0,-F1303,0),"")</f>
        <v>1.81999999999994</v>
      </c>
    </row>
    <row r="1304" customFormat="false" ht="15" hidden="false" customHeight="false" outlineLevel="0" collapsed="false">
      <c r="A1304" s="14" t="s">
        <v>105</v>
      </c>
      <c r="B1304" s="15" t="n">
        <v>45876</v>
      </c>
      <c r="C1304" s="14" t="n">
        <v>1540.1</v>
      </c>
      <c r="D1304" s="14" t="n">
        <v>999705</v>
      </c>
      <c r="E1304" s="16" t="n">
        <f aca="false">COUNTIFS($A$2:$A$1561,A1304,$B$2:$B$1561,"&gt;"&amp;B1304)+1</f>
        <v>258</v>
      </c>
      <c r="F1304" s="16" t="n">
        <f aca="false">IF(A1304=A1303,C1304-C1303,"")</f>
        <v>7.66999999999985</v>
      </c>
      <c r="G1304" s="16" t="n">
        <f aca="false">IF(A1304=A1303,IF(F1304&gt;0,F1304,0),"")</f>
        <v>7.66999999999985</v>
      </c>
      <c r="H1304" s="16" t="n">
        <f aca="false">IF(A1304=A1303,IF(F1304&lt;0,-F1304,0),"")</f>
        <v>0</v>
      </c>
    </row>
    <row r="1305" customFormat="false" ht="15" hidden="false" customHeight="false" outlineLevel="0" collapsed="false">
      <c r="A1305" s="14" t="s">
        <v>105</v>
      </c>
      <c r="B1305" s="15" t="n">
        <v>45877</v>
      </c>
      <c r="C1305" s="14" t="n">
        <v>1539.88</v>
      </c>
      <c r="D1305" s="14" t="n">
        <v>2107793</v>
      </c>
      <c r="E1305" s="16" t="n">
        <f aca="false">COUNTIFS($A$2:$A$1561,A1305,$B$2:$B$1561,"&gt;"&amp;B1305)+1</f>
        <v>257</v>
      </c>
      <c r="F1305" s="16" t="n">
        <f aca="false">IF(A1305=A1304,C1305-C1304,"")</f>
        <v>-0.2199999999998</v>
      </c>
      <c r="G1305" s="16" t="n">
        <f aca="false">IF(A1305=A1304,IF(F1305&gt;0,F1305,0),"")</f>
        <v>0</v>
      </c>
      <c r="H1305" s="16" t="n">
        <f aca="false">IF(A1305=A1304,IF(F1305&lt;0,-F1305,0),"")</f>
        <v>0.2199999999998</v>
      </c>
    </row>
    <row r="1306" customFormat="false" ht="15" hidden="false" customHeight="false" outlineLevel="0" collapsed="false">
      <c r="A1306" s="14" t="s">
        <v>105</v>
      </c>
      <c r="B1306" s="15" t="n">
        <v>45880</v>
      </c>
      <c r="C1306" s="14" t="n">
        <v>1530.73</v>
      </c>
      <c r="D1306" s="14" t="n">
        <v>523913</v>
      </c>
      <c r="E1306" s="16" t="n">
        <f aca="false">COUNTIFS($A$2:$A$1561,A1306,$B$2:$B$1561,"&gt;"&amp;B1306)+1</f>
        <v>256</v>
      </c>
      <c r="F1306" s="16" t="n">
        <f aca="false">IF(A1306=A1305,C1306-C1305,"")</f>
        <v>-9.15000000000009</v>
      </c>
      <c r="G1306" s="16" t="n">
        <f aca="false">IF(A1306=A1305,IF(F1306&gt;0,F1306,0),"")</f>
        <v>0</v>
      </c>
      <c r="H1306" s="16" t="n">
        <f aca="false">IF(A1306=A1305,IF(F1306&lt;0,-F1306,0),"")</f>
        <v>9.15000000000009</v>
      </c>
    </row>
    <row r="1307" customFormat="false" ht="15" hidden="false" customHeight="false" outlineLevel="0" collapsed="false">
      <c r="A1307" s="14" t="s">
        <v>105</v>
      </c>
      <c r="B1307" s="15" t="n">
        <v>45881</v>
      </c>
      <c r="C1307" s="14" t="n">
        <v>1540.66</v>
      </c>
      <c r="D1307" s="14" t="n">
        <v>2465134</v>
      </c>
      <c r="E1307" s="16" t="n">
        <f aca="false">COUNTIFS($A$2:$A$1561,A1307,$B$2:$B$1561,"&gt;"&amp;B1307)+1</f>
        <v>255</v>
      </c>
      <c r="F1307" s="16" t="n">
        <f aca="false">IF(A1307=A1306,C1307-C1306,"")</f>
        <v>9.93000000000006</v>
      </c>
      <c r="G1307" s="16" t="n">
        <f aca="false">IF(A1307=A1306,IF(F1307&gt;0,F1307,0),"")</f>
        <v>9.93000000000006</v>
      </c>
      <c r="H1307" s="16" t="n">
        <f aca="false">IF(A1307=A1306,IF(F1307&lt;0,-F1307,0),"")</f>
        <v>0</v>
      </c>
    </row>
    <row r="1308" customFormat="false" ht="15" hidden="false" customHeight="false" outlineLevel="0" collapsed="false">
      <c r="A1308" s="14" t="s">
        <v>105</v>
      </c>
      <c r="B1308" s="15" t="n">
        <v>45882</v>
      </c>
      <c r="C1308" s="14" t="n">
        <v>1531.25</v>
      </c>
      <c r="D1308" s="14" t="n">
        <v>2147346</v>
      </c>
      <c r="E1308" s="16" t="n">
        <f aca="false">COUNTIFS($A$2:$A$1561,A1308,$B$2:$B$1561,"&gt;"&amp;B1308)+1</f>
        <v>254</v>
      </c>
      <c r="F1308" s="16" t="n">
        <f aca="false">IF(A1308=A1307,C1308-C1307,"")</f>
        <v>-9.41000000000008</v>
      </c>
      <c r="G1308" s="16" t="n">
        <f aca="false">IF(A1308=A1307,IF(F1308&gt;0,F1308,0),"")</f>
        <v>0</v>
      </c>
      <c r="H1308" s="16" t="n">
        <f aca="false">IF(A1308=A1307,IF(F1308&lt;0,-F1308,0),"")</f>
        <v>9.41000000000008</v>
      </c>
    </row>
    <row r="1309" customFormat="false" ht="15" hidden="false" customHeight="false" outlineLevel="0" collapsed="false">
      <c r="A1309" s="14" t="s">
        <v>105</v>
      </c>
      <c r="B1309" s="15" t="n">
        <v>45883</v>
      </c>
      <c r="C1309" s="14" t="n">
        <v>1528.56</v>
      </c>
      <c r="D1309" s="14" t="n">
        <v>1760595</v>
      </c>
      <c r="E1309" s="16" t="n">
        <f aca="false">COUNTIFS($A$2:$A$1561,A1309,$B$2:$B$1561,"&gt;"&amp;B1309)+1</f>
        <v>253</v>
      </c>
      <c r="F1309" s="16" t="n">
        <f aca="false">IF(A1309=A1308,C1309-C1308,"")</f>
        <v>-2.69000000000005</v>
      </c>
      <c r="G1309" s="16" t="n">
        <f aca="false">IF(A1309=A1308,IF(F1309&gt;0,F1309,0),"")</f>
        <v>0</v>
      </c>
      <c r="H1309" s="16" t="n">
        <f aca="false">IF(A1309=A1308,IF(F1309&lt;0,-F1309,0),"")</f>
        <v>2.69000000000005</v>
      </c>
    </row>
    <row r="1310" customFormat="false" ht="15" hidden="false" customHeight="false" outlineLevel="0" collapsed="false">
      <c r="A1310" s="14" t="s">
        <v>105</v>
      </c>
      <c r="B1310" s="15" t="n">
        <v>45884</v>
      </c>
      <c r="C1310" s="14" t="n">
        <v>1533.36</v>
      </c>
      <c r="D1310" s="14" t="n">
        <v>1664647</v>
      </c>
      <c r="E1310" s="16" t="n">
        <f aca="false">COUNTIFS($A$2:$A$1561,A1310,$B$2:$B$1561,"&gt;"&amp;B1310)+1</f>
        <v>252</v>
      </c>
      <c r="F1310" s="16" t="n">
        <f aca="false">IF(A1310=A1309,C1310-C1309,"")</f>
        <v>4.79999999999995</v>
      </c>
      <c r="G1310" s="16" t="n">
        <f aca="false">IF(A1310=A1309,IF(F1310&gt;0,F1310,0),"")</f>
        <v>4.79999999999995</v>
      </c>
      <c r="H1310" s="16" t="n">
        <f aca="false">IF(A1310=A1309,IF(F1310&lt;0,-F1310,0),"")</f>
        <v>0</v>
      </c>
    </row>
    <row r="1311" customFormat="false" ht="15" hidden="false" customHeight="false" outlineLevel="0" collapsed="false">
      <c r="A1311" s="14" t="s">
        <v>105</v>
      </c>
      <c r="B1311" s="15" t="n">
        <v>45887</v>
      </c>
      <c r="C1311" s="14" t="n">
        <v>1527.53</v>
      </c>
      <c r="D1311" s="14" t="n">
        <v>2125494</v>
      </c>
      <c r="E1311" s="16" t="n">
        <f aca="false">COUNTIFS($A$2:$A$1561,A1311,$B$2:$B$1561,"&gt;"&amp;B1311)+1</f>
        <v>251</v>
      </c>
      <c r="F1311" s="16" t="n">
        <f aca="false">IF(A1311=A1310,C1311-C1310,"")</f>
        <v>-5.82999999999993</v>
      </c>
      <c r="G1311" s="16" t="n">
        <f aca="false">IF(A1311=A1310,IF(F1311&gt;0,F1311,0),"")</f>
        <v>0</v>
      </c>
      <c r="H1311" s="16" t="n">
        <f aca="false">IF(A1311=A1310,IF(F1311&lt;0,-F1311,0),"")</f>
        <v>5.82999999999993</v>
      </c>
    </row>
    <row r="1312" customFormat="false" ht="15" hidden="false" customHeight="false" outlineLevel="0" collapsed="false">
      <c r="A1312" s="14" t="s">
        <v>105</v>
      </c>
      <c r="B1312" s="15" t="n">
        <v>45888</v>
      </c>
      <c r="C1312" s="14" t="n">
        <v>1515.21</v>
      </c>
      <c r="D1312" s="14" t="n">
        <v>628944</v>
      </c>
      <c r="E1312" s="16" t="n">
        <f aca="false">COUNTIFS($A$2:$A$1561,A1312,$B$2:$B$1561,"&gt;"&amp;B1312)+1</f>
        <v>250</v>
      </c>
      <c r="F1312" s="16" t="n">
        <f aca="false">IF(A1312=A1311,C1312-C1311,"")</f>
        <v>-12.3199999999999</v>
      </c>
      <c r="G1312" s="16" t="n">
        <f aca="false">IF(A1312=A1311,IF(F1312&gt;0,F1312,0),"")</f>
        <v>0</v>
      </c>
      <c r="H1312" s="16" t="n">
        <f aca="false">IF(A1312=A1311,IF(F1312&lt;0,-F1312,0),"")</f>
        <v>12.3199999999999</v>
      </c>
    </row>
    <row r="1313" customFormat="false" ht="15" hidden="false" customHeight="false" outlineLevel="0" collapsed="false">
      <c r="A1313" s="14" t="s">
        <v>105</v>
      </c>
      <c r="B1313" s="15" t="n">
        <v>45889</v>
      </c>
      <c r="C1313" s="14" t="n">
        <v>1527.01</v>
      </c>
      <c r="D1313" s="14" t="n">
        <v>1386862</v>
      </c>
      <c r="E1313" s="16" t="n">
        <f aca="false">COUNTIFS($A$2:$A$1561,A1313,$B$2:$B$1561,"&gt;"&amp;B1313)+1</f>
        <v>249</v>
      </c>
      <c r="F1313" s="16" t="n">
        <f aca="false">IF(A1313=A1312,C1313-C1312,"")</f>
        <v>11.8</v>
      </c>
      <c r="G1313" s="16" t="n">
        <f aca="false">IF(A1313=A1312,IF(F1313&gt;0,F1313,0),"")</f>
        <v>11.8</v>
      </c>
      <c r="H1313" s="16" t="n">
        <f aca="false">IF(A1313=A1312,IF(F1313&lt;0,-F1313,0),"")</f>
        <v>0</v>
      </c>
    </row>
    <row r="1314" customFormat="false" ht="15" hidden="false" customHeight="false" outlineLevel="0" collapsed="false">
      <c r="A1314" s="14" t="s">
        <v>105</v>
      </c>
      <c r="B1314" s="15" t="n">
        <v>45890</v>
      </c>
      <c r="C1314" s="14" t="n">
        <v>1517.63</v>
      </c>
      <c r="D1314" s="14" t="n">
        <v>2310155</v>
      </c>
      <c r="E1314" s="16" t="n">
        <f aca="false">COUNTIFS($A$2:$A$1561,A1314,$B$2:$B$1561,"&gt;"&amp;B1314)+1</f>
        <v>248</v>
      </c>
      <c r="F1314" s="16" t="n">
        <f aca="false">IF(A1314=A1313,C1314-C1313,"")</f>
        <v>-9.37999999999988</v>
      </c>
      <c r="G1314" s="16" t="n">
        <f aca="false">IF(A1314=A1313,IF(F1314&gt;0,F1314,0),"")</f>
        <v>0</v>
      </c>
      <c r="H1314" s="16" t="n">
        <f aca="false">IF(A1314=A1313,IF(F1314&lt;0,-F1314,0),"")</f>
        <v>9.37999999999988</v>
      </c>
    </row>
    <row r="1315" customFormat="false" ht="15" hidden="false" customHeight="false" outlineLevel="0" collapsed="false">
      <c r="A1315" s="14" t="s">
        <v>105</v>
      </c>
      <c r="B1315" s="15" t="n">
        <v>45891</v>
      </c>
      <c r="C1315" s="14" t="n">
        <v>1527.45</v>
      </c>
      <c r="D1315" s="14" t="n">
        <v>1163099</v>
      </c>
      <c r="E1315" s="16" t="n">
        <f aca="false">COUNTIFS($A$2:$A$1561,A1315,$B$2:$B$1561,"&gt;"&amp;B1315)+1</f>
        <v>247</v>
      </c>
      <c r="F1315" s="16" t="n">
        <f aca="false">IF(A1315=A1314,C1315-C1314,"")</f>
        <v>9.81999999999994</v>
      </c>
      <c r="G1315" s="16" t="n">
        <f aca="false">IF(A1315=A1314,IF(F1315&gt;0,F1315,0),"")</f>
        <v>9.81999999999994</v>
      </c>
      <c r="H1315" s="16" t="n">
        <f aca="false">IF(A1315=A1314,IF(F1315&lt;0,-F1315,0),"")</f>
        <v>0</v>
      </c>
    </row>
    <row r="1316" customFormat="false" ht="15" hidden="false" customHeight="false" outlineLevel="0" collapsed="false">
      <c r="A1316" s="14" t="s">
        <v>105</v>
      </c>
      <c r="B1316" s="15" t="n">
        <v>45894</v>
      </c>
      <c r="C1316" s="14" t="n">
        <v>1515.7</v>
      </c>
      <c r="D1316" s="14" t="n">
        <v>1421989</v>
      </c>
      <c r="E1316" s="16" t="n">
        <f aca="false">COUNTIFS($A$2:$A$1561,A1316,$B$2:$B$1561,"&gt;"&amp;B1316)+1</f>
        <v>246</v>
      </c>
      <c r="F1316" s="16" t="n">
        <f aca="false">IF(A1316=A1315,C1316-C1315,"")</f>
        <v>-11.75</v>
      </c>
      <c r="G1316" s="16" t="n">
        <f aca="false">IF(A1316=A1315,IF(F1316&gt;0,F1316,0),"")</f>
        <v>0</v>
      </c>
      <c r="H1316" s="16" t="n">
        <f aca="false">IF(A1316=A1315,IF(F1316&lt;0,-F1316,0),"")</f>
        <v>11.75</v>
      </c>
    </row>
    <row r="1317" customFormat="false" ht="15" hidden="false" customHeight="false" outlineLevel="0" collapsed="false">
      <c r="A1317" s="14" t="s">
        <v>105</v>
      </c>
      <c r="B1317" s="15" t="n">
        <v>45895</v>
      </c>
      <c r="C1317" s="14" t="n">
        <v>1507.46</v>
      </c>
      <c r="D1317" s="14" t="n">
        <v>1647768</v>
      </c>
      <c r="E1317" s="16" t="n">
        <f aca="false">COUNTIFS($A$2:$A$1561,A1317,$B$2:$B$1561,"&gt;"&amp;B1317)+1</f>
        <v>245</v>
      </c>
      <c r="F1317" s="16" t="n">
        <f aca="false">IF(A1317=A1316,C1317-C1316,"")</f>
        <v>-8.24000000000001</v>
      </c>
      <c r="G1317" s="16" t="n">
        <f aca="false">IF(A1317=A1316,IF(F1317&gt;0,F1317,0),"")</f>
        <v>0</v>
      </c>
      <c r="H1317" s="16" t="n">
        <f aca="false">IF(A1317=A1316,IF(F1317&lt;0,-F1317,0),"")</f>
        <v>8.24000000000001</v>
      </c>
    </row>
    <row r="1318" customFormat="false" ht="15" hidden="false" customHeight="false" outlineLevel="0" collapsed="false">
      <c r="A1318" s="14" t="s">
        <v>105</v>
      </c>
      <c r="B1318" s="15" t="n">
        <v>45896</v>
      </c>
      <c r="C1318" s="14" t="n">
        <v>1517</v>
      </c>
      <c r="D1318" s="14" t="n">
        <v>1289997</v>
      </c>
      <c r="E1318" s="16" t="n">
        <f aca="false">COUNTIFS($A$2:$A$1561,A1318,$B$2:$B$1561,"&gt;"&amp;B1318)+1</f>
        <v>244</v>
      </c>
      <c r="F1318" s="16" t="n">
        <f aca="false">IF(A1318=A1317,C1318-C1317,"")</f>
        <v>9.53999999999996</v>
      </c>
      <c r="G1318" s="16" t="n">
        <f aca="false">IF(A1318=A1317,IF(F1318&gt;0,F1318,0),"")</f>
        <v>9.53999999999996</v>
      </c>
      <c r="H1318" s="16" t="n">
        <f aca="false">IF(A1318=A1317,IF(F1318&lt;0,-F1318,0),"")</f>
        <v>0</v>
      </c>
    </row>
    <row r="1319" customFormat="false" ht="15" hidden="false" customHeight="false" outlineLevel="0" collapsed="false">
      <c r="A1319" s="14" t="s">
        <v>105</v>
      </c>
      <c r="B1319" s="15" t="n">
        <v>45897</v>
      </c>
      <c r="C1319" s="14" t="n">
        <v>1504.97</v>
      </c>
      <c r="D1319" s="14" t="n">
        <v>1866425</v>
      </c>
      <c r="E1319" s="16" t="n">
        <f aca="false">COUNTIFS($A$2:$A$1561,A1319,$B$2:$B$1561,"&gt;"&amp;B1319)+1</f>
        <v>243</v>
      </c>
      <c r="F1319" s="16" t="n">
        <f aca="false">IF(A1319=A1318,C1319-C1318,"")</f>
        <v>-12.03</v>
      </c>
      <c r="G1319" s="16" t="n">
        <f aca="false">IF(A1319=A1318,IF(F1319&gt;0,F1319,0),"")</f>
        <v>0</v>
      </c>
      <c r="H1319" s="16" t="n">
        <f aca="false">IF(A1319=A1318,IF(F1319&lt;0,-F1319,0),"")</f>
        <v>12.03</v>
      </c>
    </row>
    <row r="1320" customFormat="false" ht="15" hidden="false" customHeight="false" outlineLevel="0" collapsed="false">
      <c r="A1320" s="14" t="s">
        <v>105</v>
      </c>
      <c r="B1320" s="15" t="n">
        <v>45898</v>
      </c>
      <c r="C1320" s="14" t="n">
        <v>1496.92</v>
      </c>
      <c r="D1320" s="14" t="n">
        <v>929432</v>
      </c>
      <c r="E1320" s="16" t="n">
        <f aca="false">COUNTIFS($A$2:$A$1561,A1320,$B$2:$B$1561,"&gt;"&amp;B1320)+1</f>
        <v>242</v>
      </c>
      <c r="F1320" s="16" t="n">
        <f aca="false">IF(A1320=A1319,C1320-C1319,"")</f>
        <v>-8.04999999999996</v>
      </c>
      <c r="G1320" s="16" t="n">
        <f aca="false">IF(A1320=A1319,IF(F1320&gt;0,F1320,0),"")</f>
        <v>0</v>
      </c>
      <c r="H1320" s="16" t="n">
        <f aca="false">IF(A1320=A1319,IF(F1320&lt;0,-F1320,0),"")</f>
        <v>8.04999999999996</v>
      </c>
    </row>
    <row r="1321" customFormat="false" ht="15" hidden="false" customHeight="false" outlineLevel="0" collapsed="false">
      <c r="A1321" s="14" t="s">
        <v>105</v>
      </c>
      <c r="B1321" s="15" t="n">
        <v>45901</v>
      </c>
      <c r="C1321" s="14" t="n">
        <v>1489.3</v>
      </c>
      <c r="D1321" s="14" t="n">
        <v>1059709</v>
      </c>
      <c r="E1321" s="16" t="n">
        <f aca="false">COUNTIFS($A$2:$A$1561,A1321,$B$2:$B$1561,"&gt;"&amp;B1321)+1</f>
        <v>241</v>
      </c>
      <c r="F1321" s="16" t="n">
        <f aca="false">IF(A1321=A1320,C1321-C1320,"")</f>
        <v>-7.62000000000012</v>
      </c>
      <c r="G1321" s="16" t="n">
        <f aca="false">IF(A1321=A1320,IF(F1321&gt;0,F1321,0),"")</f>
        <v>0</v>
      </c>
      <c r="H1321" s="16" t="n">
        <f aca="false">IF(A1321=A1320,IF(F1321&lt;0,-F1321,0),"")</f>
        <v>7.62000000000012</v>
      </c>
    </row>
    <row r="1322" customFormat="false" ht="15" hidden="false" customHeight="false" outlineLevel="0" collapsed="false">
      <c r="A1322" s="14" t="s">
        <v>105</v>
      </c>
      <c r="B1322" s="15" t="n">
        <v>45902</v>
      </c>
      <c r="C1322" s="14" t="n">
        <v>1500.38</v>
      </c>
      <c r="D1322" s="14" t="n">
        <v>569298</v>
      </c>
      <c r="E1322" s="16" t="n">
        <f aca="false">COUNTIFS($A$2:$A$1561,A1322,$B$2:$B$1561,"&gt;"&amp;B1322)+1</f>
        <v>240</v>
      </c>
      <c r="F1322" s="16" t="n">
        <f aca="false">IF(A1322=A1321,C1322-C1321,"")</f>
        <v>11.0800000000002</v>
      </c>
      <c r="G1322" s="16" t="n">
        <f aca="false">IF(A1322=A1321,IF(F1322&gt;0,F1322,0),"")</f>
        <v>11.0800000000002</v>
      </c>
      <c r="H1322" s="16" t="n">
        <f aca="false">IF(A1322=A1321,IF(F1322&lt;0,-F1322,0),"")</f>
        <v>0</v>
      </c>
    </row>
    <row r="1323" customFormat="false" ht="15" hidden="false" customHeight="false" outlineLevel="0" collapsed="false">
      <c r="A1323" s="14" t="s">
        <v>105</v>
      </c>
      <c r="B1323" s="15" t="n">
        <v>45903</v>
      </c>
      <c r="C1323" s="14" t="n">
        <v>1504.41</v>
      </c>
      <c r="D1323" s="14" t="n">
        <v>991569</v>
      </c>
      <c r="E1323" s="16" t="n">
        <f aca="false">COUNTIFS($A$2:$A$1561,A1323,$B$2:$B$1561,"&gt;"&amp;B1323)+1</f>
        <v>239</v>
      </c>
      <c r="F1323" s="16" t="n">
        <f aca="false">IF(A1323=A1322,C1323-C1322,"")</f>
        <v>4.02999999999997</v>
      </c>
      <c r="G1323" s="16" t="n">
        <f aca="false">IF(A1323=A1322,IF(F1323&gt;0,F1323,0),"")</f>
        <v>4.02999999999997</v>
      </c>
      <c r="H1323" s="16" t="n">
        <f aca="false">IF(A1323=A1322,IF(F1323&lt;0,-F1323,0),"")</f>
        <v>0</v>
      </c>
    </row>
    <row r="1324" customFormat="false" ht="15" hidden="false" customHeight="false" outlineLevel="0" collapsed="false">
      <c r="A1324" s="14" t="s">
        <v>105</v>
      </c>
      <c r="B1324" s="15" t="n">
        <v>45904</v>
      </c>
      <c r="C1324" s="14" t="n">
        <v>1499.67</v>
      </c>
      <c r="D1324" s="14" t="n">
        <v>1323984</v>
      </c>
      <c r="E1324" s="16" t="n">
        <f aca="false">COUNTIFS($A$2:$A$1561,A1324,$B$2:$B$1561,"&gt;"&amp;B1324)+1</f>
        <v>238</v>
      </c>
      <c r="F1324" s="16" t="n">
        <f aca="false">IF(A1324=A1323,C1324-C1323,"")</f>
        <v>-4.74000000000001</v>
      </c>
      <c r="G1324" s="16" t="n">
        <f aca="false">IF(A1324=A1323,IF(F1324&gt;0,F1324,0),"")</f>
        <v>0</v>
      </c>
      <c r="H1324" s="16" t="n">
        <f aca="false">IF(A1324=A1323,IF(F1324&lt;0,-F1324,0),"")</f>
        <v>4.74000000000001</v>
      </c>
    </row>
    <row r="1325" customFormat="false" ht="15" hidden="false" customHeight="false" outlineLevel="0" collapsed="false">
      <c r="A1325" s="14" t="s">
        <v>105</v>
      </c>
      <c r="B1325" s="15" t="n">
        <v>45905</v>
      </c>
      <c r="C1325" s="14" t="n">
        <v>1501.85</v>
      </c>
      <c r="D1325" s="14" t="n">
        <v>621958</v>
      </c>
      <c r="E1325" s="16" t="n">
        <f aca="false">COUNTIFS($A$2:$A$1561,A1325,$B$2:$B$1561,"&gt;"&amp;B1325)+1</f>
        <v>237</v>
      </c>
      <c r="F1325" s="16" t="n">
        <f aca="false">IF(A1325=A1324,C1325-C1324,"")</f>
        <v>2.17999999999984</v>
      </c>
      <c r="G1325" s="16" t="n">
        <f aca="false">IF(A1325=A1324,IF(F1325&gt;0,F1325,0),"")</f>
        <v>2.17999999999984</v>
      </c>
      <c r="H1325" s="16" t="n">
        <f aca="false">IF(A1325=A1324,IF(F1325&lt;0,-F1325,0),"")</f>
        <v>0</v>
      </c>
    </row>
    <row r="1326" customFormat="false" ht="15" hidden="false" customHeight="false" outlineLevel="0" collapsed="false">
      <c r="A1326" s="14" t="s">
        <v>105</v>
      </c>
      <c r="B1326" s="15" t="n">
        <v>45908</v>
      </c>
      <c r="C1326" s="14" t="n">
        <v>1496.71</v>
      </c>
      <c r="D1326" s="14" t="n">
        <v>774472</v>
      </c>
      <c r="E1326" s="16" t="n">
        <f aca="false">COUNTIFS($A$2:$A$1561,A1326,$B$2:$B$1561,"&gt;"&amp;B1326)+1</f>
        <v>236</v>
      </c>
      <c r="F1326" s="16" t="n">
        <f aca="false">IF(A1326=A1325,C1326-C1325,"")</f>
        <v>-5.13999999999987</v>
      </c>
      <c r="G1326" s="16" t="n">
        <f aca="false">IF(A1326=A1325,IF(F1326&gt;0,F1326,0),"")</f>
        <v>0</v>
      </c>
      <c r="H1326" s="16" t="n">
        <f aca="false">IF(A1326=A1325,IF(F1326&lt;0,-F1326,0),"")</f>
        <v>5.13999999999987</v>
      </c>
    </row>
    <row r="1327" customFormat="false" ht="15" hidden="false" customHeight="false" outlineLevel="0" collapsed="false">
      <c r="A1327" s="14" t="s">
        <v>105</v>
      </c>
      <c r="B1327" s="15" t="n">
        <v>45909</v>
      </c>
      <c r="C1327" s="14" t="n">
        <v>1489.42</v>
      </c>
      <c r="D1327" s="14" t="n">
        <v>2269305</v>
      </c>
      <c r="E1327" s="16" t="n">
        <f aca="false">COUNTIFS($A$2:$A$1561,A1327,$B$2:$B$1561,"&gt;"&amp;B1327)+1</f>
        <v>235</v>
      </c>
      <c r="F1327" s="16" t="n">
        <f aca="false">IF(A1327=A1326,C1327-C1326,"")</f>
        <v>-7.28999999999996</v>
      </c>
      <c r="G1327" s="16" t="n">
        <f aca="false">IF(A1327=A1326,IF(F1327&gt;0,F1327,0),"")</f>
        <v>0</v>
      </c>
      <c r="H1327" s="16" t="n">
        <f aca="false">IF(A1327=A1326,IF(F1327&lt;0,-F1327,0),"")</f>
        <v>7.28999999999996</v>
      </c>
    </row>
    <row r="1328" customFormat="false" ht="15" hidden="false" customHeight="false" outlineLevel="0" collapsed="false">
      <c r="A1328" s="14" t="s">
        <v>105</v>
      </c>
      <c r="B1328" s="15" t="n">
        <v>45910</v>
      </c>
      <c r="C1328" s="14" t="n">
        <v>1490.92</v>
      </c>
      <c r="D1328" s="14" t="n">
        <v>1761508</v>
      </c>
      <c r="E1328" s="16" t="n">
        <f aca="false">COUNTIFS($A$2:$A$1561,A1328,$B$2:$B$1561,"&gt;"&amp;B1328)+1</f>
        <v>234</v>
      </c>
      <c r="F1328" s="16" t="n">
        <f aca="false">IF(A1328=A1327,C1328-C1327,"")</f>
        <v>1.5</v>
      </c>
      <c r="G1328" s="16" t="n">
        <f aca="false">IF(A1328=A1327,IF(F1328&gt;0,F1328,0),"")</f>
        <v>1.5</v>
      </c>
      <c r="H1328" s="16" t="n">
        <f aca="false">IF(A1328=A1327,IF(F1328&lt;0,-F1328,0),"")</f>
        <v>0</v>
      </c>
    </row>
    <row r="1329" customFormat="false" ht="15" hidden="false" customHeight="false" outlineLevel="0" collapsed="false">
      <c r="A1329" s="14" t="s">
        <v>105</v>
      </c>
      <c r="B1329" s="15" t="n">
        <v>45911</v>
      </c>
      <c r="C1329" s="14" t="n">
        <v>1499.83</v>
      </c>
      <c r="D1329" s="14" t="n">
        <v>2089692</v>
      </c>
      <c r="E1329" s="16" t="n">
        <f aca="false">COUNTIFS($A$2:$A$1561,A1329,$B$2:$B$1561,"&gt;"&amp;B1329)+1</f>
        <v>233</v>
      </c>
      <c r="F1329" s="16" t="n">
        <f aca="false">IF(A1329=A1328,C1329-C1328,"")</f>
        <v>8.90999999999985</v>
      </c>
      <c r="G1329" s="16" t="n">
        <f aca="false">IF(A1329=A1328,IF(F1329&gt;0,F1329,0),"")</f>
        <v>8.90999999999985</v>
      </c>
      <c r="H1329" s="16" t="n">
        <f aca="false">IF(A1329=A1328,IF(F1329&lt;0,-F1329,0),"")</f>
        <v>0</v>
      </c>
    </row>
    <row r="1330" customFormat="false" ht="15" hidden="false" customHeight="false" outlineLevel="0" collapsed="false">
      <c r="A1330" s="14" t="s">
        <v>105</v>
      </c>
      <c r="B1330" s="15" t="n">
        <v>45912</v>
      </c>
      <c r="C1330" s="14" t="n">
        <v>1513.85</v>
      </c>
      <c r="D1330" s="14" t="n">
        <v>2063831</v>
      </c>
      <c r="E1330" s="16" t="n">
        <f aca="false">COUNTIFS($A$2:$A$1561,A1330,$B$2:$B$1561,"&gt;"&amp;B1330)+1</f>
        <v>232</v>
      </c>
      <c r="F1330" s="16" t="n">
        <f aca="false">IF(A1330=A1329,C1330-C1329,"")</f>
        <v>14.02</v>
      </c>
      <c r="G1330" s="16" t="n">
        <f aca="false">IF(A1330=A1329,IF(F1330&gt;0,F1330,0),"")</f>
        <v>14.02</v>
      </c>
      <c r="H1330" s="16" t="n">
        <f aca="false">IF(A1330=A1329,IF(F1330&lt;0,-F1330,0),"")</f>
        <v>0</v>
      </c>
    </row>
    <row r="1331" customFormat="false" ht="15" hidden="false" customHeight="false" outlineLevel="0" collapsed="false">
      <c r="A1331" s="14" t="s">
        <v>105</v>
      </c>
      <c r="B1331" s="15" t="n">
        <v>45915</v>
      </c>
      <c r="C1331" s="14" t="n">
        <v>1510.83</v>
      </c>
      <c r="D1331" s="14" t="n">
        <v>1589035</v>
      </c>
      <c r="E1331" s="16" t="n">
        <f aca="false">COUNTIFS($A$2:$A$1561,A1331,$B$2:$B$1561,"&gt;"&amp;B1331)+1</f>
        <v>231</v>
      </c>
      <c r="F1331" s="16" t="n">
        <f aca="false">IF(A1331=A1330,C1331-C1330,"")</f>
        <v>-3.01999999999998</v>
      </c>
      <c r="G1331" s="16" t="n">
        <f aca="false">IF(A1331=A1330,IF(F1331&gt;0,F1331,0),"")</f>
        <v>0</v>
      </c>
      <c r="H1331" s="16" t="n">
        <f aca="false">IF(A1331=A1330,IF(F1331&lt;0,-F1331,0),"")</f>
        <v>3.01999999999998</v>
      </c>
    </row>
    <row r="1332" customFormat="false" ht="15" hidden="false" customHeight="false" outlineLevel="0" collapsed="false">
      <c r="A1332" s="14" t="s">
        <v>105</v>
      </c>
      <c r="B1332" s="15" t="n">
        <v>45916</v>
      </c>
      <c r="C1332" s="14" t="n">
        <v>1511.23</v>
      </c>
      <c r="D1332" s="14" t="n">
        <v>2325354</v>
      </c>
      <c r="E1332" s="16" t="n">
        <f aca="false">COUNTIFS($A$2:$A$1561,A1332,$B$2:$B$1561,"&gt;"&amp;B1332)+1</f>
        <v>230</v>
      </c>
      <c r="F1332" s="16" t="n">
        <f aca="false">IF(A1332=A1331,C1332-C1331,"")</f>
        <v>0.400000000000091</v>
      </c>
      <c r="G1332" s="16" t="n">
        <f aca="false">IF(A1332=A1331,IF(F1332&gt;0,F1332,0),"")</f>
        <v>0.400000000000091</v>
      </c>
      <c r="H1332" s="16" t="n">
        <f aca="false">IF(A1332=A1331,IF(F1332&lt;0,-F1332,0),"")</f>
        <v>0</v>
      </c>
    </row>
    <row r="1333" customFormat="false" ht="15" hidden="false" customHeight="false" outlineLevel="0" collapsed="false">
      <c r="A1333" s="14" t="s">
        <v>105</v>
      </c>
      <c r="B1333" s="15" t="n">
        <v>45917</v>
      </c>
      <c r="C1333" s="14" t="n">
        <v>1512.11</v>
      </c>
      <c r="D1333" s="14" t="n">
        <v>1276762</v>
      </c>
      <c r="E1333" s="16" t="n">
        <f aca="false">COUNTIFS($A$2:$A$1561,A1333,$B$2:$B$1561,"&gt;"&amp;B1333)+1</f>
        <v>229</v>
      </c>
      <c r="F1333" s="16" t="n">
        <f aca="false">IF(A1333=A1332,C1333-C1332,"")</f>
        <v>0.879999999999882</v>
      </c>
      <c r="G1333" s="16" t="n">
        <f aca="false">IF(A1333=A1332,IF(F1333&gt;0,F1333,0),"")</f>
        <v>0.879999999999882</v>
      </c>
      <c r="H1333" s="16" t="n">
        <f aca="false">IF(A1333=A1332,IF(F1333&lt;0,-F1333,0),"")</f>
        <v>0</v>
      </c>
    </row>
    <row r="1334" customFormat="false" ht="15" hidden="false" customHeight="false" outlineLevel="0" collapsed="false">
      <c r="A1334" s="14" t="s">
        <v>105</v>
      </c>
      <c r="B1334" s="15" t="n">
        <v>45918</v>
      </c>
      <c r="C1334" s="14" t="n">
        <v>1504.22</v>
      </c>
      <c r="D1334" s="14" t="n">
        <v>1137755</v>
      </c>
      <c r="E1334" s="16" t="n">
        <f aca="false">COUNTIFS($A$2:$A$1561,A1334,$B$2:$B$1561,"&gt;"&amp;B1334)+1</f>
        <v>228</v>
      </c>
      <c r="F1334" s="16" t="n">
        <f aca="false">IF(A1334=A1333,C1334-C1333,"")</f>
        <v>-7.88999999999987</v>
      </c>
      <c r="G1334" s="16" t="n">
        <f aca="false">IF(A1334=A1333,IF(F1334&gt;0,F1334,0),"")</f>
        <v>0</v>
      </c>
      <c r="H1334" s="16" t="n">
        <f aca="false">IF(A1334=A1333,IF(F1334&lt;0,-F1334,0),"")</f>
        <v>7.88999999999987</v>
      </c>
    </row>
    <row r="1335" customFormat="false" ht="15" hidden="false" customHeight="false" outlineLevel="0" collapsed="false">
      <c r="A1335" s="14" t="s">
        <v>105</v>
      </c>
      <c r="B1335" s="15" t="n">
        <v>45919</v>
      </c>
      <c r="C1335" s="14" t="n">
        <v>1497.42</v>
      </c>
      <c r="D1335" s="14" t="n">
        <v>2291529</v>
      </c>
      <c r="E1335" s="16" t="n">
        <f aca="false">COUNTIFS($A$2:$A$1561,A1335,$B$2:$B$1561,"&gt;"&amp;B1335)+1</f>
        <v>227</v>
      </c>
      <c r="F1335" s="16" t="n">
        <f aca="false">IF(A1335=A1334,C1335-C1334,"")</f>
        <v>-6.79999999999995</v>
      </c>
      <c r="G1335" s="16" t="n">
        <f aca="false">IF(A1335=A1334,IF(F1335&gt;0,F1335,0),"")</f>
        <v>0</v>
      </c>
      <c r="H1335" s="16" t="n">
        <f aca="false">IF(A1335=A1334,IF(F1335&lt;0,-F1335,0),"")</f>
        <v>6.79999999999995</v>
      </c>
    </row>
    <row r="1336" customFormat="false" ht="15" hidden="false" customHeight="false" outlineLevel="0" collapsed="false">
      <c r="A1336" s="14" t="s">
        <v>105</v>
      </c>
      <c r="B1336" s="15" t="n">
        <v>45922</v>
      </c>
      <c r="C1336" s="14" t="n">
        <v>1505.74</v>
      </c>
      <c r="D1336" s="14" t="n">
        <v>617182</v>
      </c>
      <c r="E1336" s="16" t="n">
        <f aca="false">COUNTIFS($A$2:$A$1561,A1336,$B$2:$B$1561,"&gt;"&amp;B1336)+1</f>
        <v>226</v>
      </c>
      <c r="F1336" s="16" t="n">
        <f aca="false">IF(A1336=A1335,C1336-C1335,"")</f>
        <v>8.31999999999994</v>
      </c>
      <c r="G1336" s="16" t="n">
        <f aca="false">IF(A1336=A1335,IF(F1336&gt;0,F1336,0),"")</f>
        <v>8.31999999999994</v>
      </c>
      <c r="H1336" s="16" t="n">
        <f aca="false">IF(A1336=A1335,IF(F1336&lt;0,-F1336,0),"")</f>
        <v>0</v>
      </c>
    </row>
    <row r="1337" customFormat="false" ht="15" hidden="false" customHeight="false" outlineLevel="0" collapsed="false">
      <c r="A1337" s="14" t="s">
        <v>105</v>
      </c>
      <c r="B1337" s="15" t="n">
        <v>45923</v>
      </c>
      <c r="C1337" s="14" t="n">
        <v>1519.87</v>
      </c>
      <c r="D1337" s="14" t="n">
        <v>1558864</v>
      </c>
      <c r="E1337" s="16" t="n">
        <f aca="false">COUNTIFS($A$2:$A$1561,A1337,$B$2:$B$1561,"&gt;"&amp;B1337)+1</f>
        <v>225</v>
      </c>
      <c r="F1337" s="16" t="n">
        <f aca="false">IF(A1337=A1336,C1337-C1336,"")</f>
        <v>14.1299999999999</v>
      </c>
      <c r="G1337" s="16" t="n">
        <f aca="false">IF(A1337=A1336,IF(F1337&gt;0,F1337,0),"")</f>
        <v>14.1299999999999</v>
      </c>
      <c r="H1337" s="16" t="n">
        <f aca="false">IF(A1337=A1336,IF(F1337&lt;0,-F1337,0),"")</f>
        <v>0</v>
      </c>
    </row>
    <row r="1338" customFormat="false" ht="15" hidden="false" customHeight="false" outlineLevel="0" collapsed="false">
      <c r="A1338" s="14" t="s">
        <v>105</v>
      </c>
      <c r="B1338" s="15" t="n">
        <v>45924</v>
      </c>
      <c r="C1338" s="14" t="n">
        <v>1527.99</v>
      </c>
      <c r="D1338" s="14" t="n">
        <v>2499211</v>
      </c>
      <c r="E1338" s="16" t="n">
        <f aca="false">COUNTIFS($A$2:$A$1561,A1338,$B$2:$B$1561,"&gt;"&amp;B1338)+1</f>
        <v>224</v>
      </c>
      <c r="F1338" s="16" t="n">
        <f aca="false">IF(A1338=A1337,C1338-C1337,"")</f>
        <v>8.12000000000012</v>
      </c>
      <c r="G1338" s="16" t="n">
        <f aca="false">IF(A1338=A1337,IF(F1338&gt;0,F1338,0),"")</f>
        <v>8.12000000000012</v>
      </c>
      <c r="H1338" s="16" t="n">
        <f aca="false">IF(A1338=A1337,IF(F1338&lt;0,-F1338,0),"")</f>
        <v>0</v>
      </c>
    </row>
    <row r="1339" customFormat="false" ht="15" hidden="false" customHeight="false" outlineLevel="0" collapsed="false">
      <c r="A1339" s="14" t="s">
        <v>105</v>
      </c>
      <c r="B1339" s="15" t="n">
        <v>45925</v>
      </c>
      <c r="C1339" s="14" t="n">
        <v>1541.85</v>
      </c>
      <c r="D1339" s="14" t="n">
        <v>700268</v>
      </c>
      <c r="E1339" s="16" t="n">
        <f aca="false">COUNTIFS($A$2:$A$1561,A1339,$B$2:$B$1561,"&gt;"&amp;B1339)+1</f>
        <v>223</v>
      </c>
      <c r="F1339" s="16" t="n">
        <f aca="false">IF(A1339=A1338,C1339-C1338,"")</f>
        <v>13.8599999999999</v>
      </c>
      <c r="G1339" s="16" t="n">
        <f aca="false">IF(A1339=A1338,IF(F1339&gt;0,F1339,0),"")</f>
        <v>13.8599999999999</v>
      </c>
      <c r="H1339" s="16" t="n">
        <f aca="false">IF(A1339=A1338,IF(F1339&lt;0,-F1339,0),"")</f>
        <v>0</v>
      </c>
    </row>
    <row r="1340" customFormat="false" ht="15" hidden="false" customHeight="false" outlineLevel="0" collapsed="false">
      <c r="A1340" s="14" t="s">
        <v>105</v>
      </c>
      <c r="B1340" s="15" t="n">
        <v>45926</v>
      </c>
      <c r="C1340" s="14" t="n">
        <v>1547.04</v>
      </c>
      <c r="D1340" s="14" t="n">
        <v>1033054</v>
      </c>
      <c r="E1340" s="16" t="n">
        <f aca="false">COUNTIFS($A$2:$A$1561,A1340,$B$2:$B$1561,"&gt;"&amp;B1340)+1</f>
        <v>222</v>
      </c>
      <c r="F1340" s="16" t="n">
        <f aca="false">IF(A1340=A1339,C1340-C1339,"")</f>
        <v>5.19000000000006</v>
      </c>
      <c r="G1340" s="16" t="n">
        <f aca="false">IF(A1340=A1339,IF(F1340&gt;0,F1340,0),"")</f>
        <v>5.19000000000006</v>
      </c>
      <c r="H1340" s="16" t="n">
        <f aca="false">IF(A1340=A1339,IF(F1340&lt;0,-F1340,0),"")</f>
        <v>0</v>
      </c>
    </row>
    <row r="1341" customFormat="false" ht="15" hidden="false" customHeight="false" outlineLevel="0" collapsed="false">
      <c r="A1341" s="14" t="s">
        <v>105</v>
      </c>
      <c r="B1341" s="15" t="n">
        <v>45929</v>
      </c>
      <c r="C1341" s="14" t="n">
        <v>1556.68</v>
      </c>
      <c r="D1341" s="14" t="n">
        <v>2334518</v>
      </c>
      <c r="E1341" s="16" t="n">
        <f aca="false">COUNTIFS($A$2:$A$1561,A1341,$B$2:$B$1561,"&gt;"&amp;B1341)+1</f>
        <v>221</v>
      </c>
      <c r="F1341" s="16" t="n">
        <f aca="false">IF(A1341=A1340,C1341-C1340,"")</f>
        <v>9.6400000000001</v>
      </c>
      <c r="G1341" s="16" t="n">
        <f aca="false">IF(A1341=A1340,IF(F1341&gt;0,F1341,0),"")</f>
        <v>9.6400000000001</v>
      </c>
      <c r="H1341" s="16" t="n">
        <f aca="false">IF(A1341=A1340,IF(F1341&lt;0,-F1341,0),"")</f>
        <v>0</v>
      </c>
    </row>
    <row r="1342" customFormat="false" ht="15" hidden="false" customHeight="false" outlineLevel="0" collapsed="false">
      <c r="A1342" s="14" t="s">
        <v>105</v>
      </c>
      <c r="B1342" s="15" t="n">
        <v>45930</v>
      </c>
      <c r="C1342" s="14" t="n">
        <v>1545.08</v>
      </c>
      <c r="D1342" s="14" t="n">
        <v>2492784</v>
      </c>
      <c r="E1342" s="16" t="n">
        <f aca="false">COUNTIFS($A$2:$A$1561,A1342,$B$2:$B$1561,"&gt;"&amp;B1342)+1</f>
        <v>220</v>
      </c>
      <c r="F1342" s="16" t="n">
        <f aca="false">IF(A1342=A1341,C1342-C1341,"")</f>
        <v>-11.6000000000001</v>
      </c>
      <c r="G1342" s="16" t="n">
        <f aca="false">IF(A1342=A1341,IF(F1342&gt;0,F1342,0),"")</f>
        <v>0</v>
      </c>
      <c r="H1342" s="16" t="n">
        <f aca="false">IF(A1342=A1341,IF(F1342&lt;0,-F1342,0),"")</f>
        <v>11.6000000000001</v>
      </c>
    </row>
    <row r="1343" customFormat="false" ht="15" hidden="false" customHeight="false" outlineLevel="0" collapsed="false">
      <c r="A1343" s="14" t="s">
        <v>105</v>
      </c>
      <c r="B1343" s="15" t="n">
        <v>45931</v>
      </c>
      <c r="C1343" s="14" t="n">
        <v>1538.11</v>
      </c>
      <c r="D1343" s="14" t="n">
        <v>2193010</v>
      </c>
      <c r="E1343" s="16" t="n">
        <f aca="false">COUNTIFS($A$2:$A$1561,A1343,$B$2:$B$1561,"&gt;"&amp;B1343)+1</f>
        <v>219</v>
      </c>
      <c r="F1343" s="16" t="n">
        <f aca="false">IF(A1343=A1342,C1343-C1342,"")</f>
        <v>-6.97000000000003</v>
      </c>
      <c r="G1343" s="16" t="n">
        <f aca="false">IF(A1343=A1342,IF(F1343&gt;0,F1343,0),"")</f>
        <v>0</v>
      </c>
      <c r="H1343" s="16" t="n">
        <f aca="false">IF(A1343=A1342,IF(F1343&lt;0,-F1343,0),"")</f>
        <v>6.97000000000003</v>
      </c>
    </row>
    <row r="1344" customFormat="false" ht="15" hidden="false" customHeight="false" outlineLevel="0" collapsed="false">
      <c r="A1344" s="14" t="s">
        <v>105</v>
      </c>
      <c r="B1344" s="15" t="n">
        <v>45932</v>
      </c>
      <c r="C1344" s="14" t="n">
        <v>1547.17</v>
      </c>
      <c r="D1344" s="14" t="n">
        <v>1209609</v>
      </c>
      <c r="E1344" s="16" t="n">
        <f aca="false">COUNTIFS($A$2:$A$1561,A1344,$B$2:$B$1561,"&gt;"&amp;B1344)+1</f>
        <v>218</v>
      </c>
      <c r="F1344" s="16" t="n">
        <f aca="false">IF(A1344=A1343,C1344-C1343,"")</f>
        <v>9.06000000000017</v>
      </c>
      <c r="G1344" s="16" t="n">
        <f aca="false">IF(A1344=A1343,IF(F1344&gt;0,F1344,0),"")</f>
        <v>9.06000000000017</v>
      </c>
      <c r="H1344" s="16" t="n">
        <f aca="false">IF(A1344=A1343,IF(F1344&lt;0,-F1344,0),"")</f>
        <v>0</v>
      </c>
    </row>
    <row r="1345" customFormat="false" ht="15" hidden="false" customHeight="false" outlineLevel="0" collapsed="false">
      <c r="A1345" s="14" t="s">
        <v>105</v>
      </c>
      <c r="B1345" s="15" t="n">
        <v>45933</v>
      </c>
      <c r="C1345" s="14" t="n">
        <v>1557.46</v>
      </c>
      <c r="D1345" s="14" t="n">
        <v>2190441</v>
      </c>
      <c r="E1345" s="16" t="n">
        <f aca="false">COUNTIFS($A$2:$A$1561,A1345,$B$2:$B$1561,"&gt;"&amp;B1345)+1</f>
        <v>217</v>
      </c>
      <c r="F1345" s="16" t="n">
        <f aca="false">IF(A1345=A1344,C1345-C1344,"")</f>
        <v>10.29</v>
      </c>
      <c r="G1345" s="16" t="n">
        <f aca="false">IF(A1345=A1344,IF(F1345&gt;0,F1345,0),"")</f>
        <v>10.29</v>
      </c>
      <c r="H1345" s="16" t="n">
        <f aca="false">IF(A1345=A1344,IF(F1345&lt;0,-F1345,0),"")</f>
        <v>0</v>
      </c>
    </row>
    <row r="1346" customFormat="false" ht="15" hidden="false" customHeight="false" outlineLevel="0" collapsed="false">
      <c r="A1346" s="14" t="s">
        <v>105</v>
      </c>
      <c r="B1346" s="15" t="n">
        <v>45936</v>
      </c>
      <c r="C1346" s="14" t="n">
        <v>1549.22</v>
      </c>
      <c r="D1346" s="14" t="n">
        <v>1685039</v>
      </c>
      <c r="E1346" s="16" t="n">
        <f aca="false">COUNTIFS($A$2:$A$1561,A1346,$B$2:$B$1561,"&gt;"&amp;B1346)+1</f>
        <v>216</v>
      </c>
      <c r="F1346" s="16" t="n">
        <f aca="false">IF(A1346=A1345,C1346-C1345,"")</f>
        <v>-8.24000000000001</v>
      </c>
      <c r="G1346" s="16" t="n">
        <f aca="false">IF(A1346=A1345,IF(F1346&gt;0,F1346,0),"")</f>
        <v>0</v>
      </c>
      <c r="H1346" s="16" t="n">
        <f aca="false">IF(A1346=A1345,IF(F1346&lt;0,-F1346,0),"")</f>
        <v>8.24000000000001</v>
      </c>
    </row>
    <row r="1347" customFormat="false" ht="15" hidden="false" customHeight="false" outlineLevel="0" collapsed="false">
      <c r="A1347" s="14" t="s">
        <v>105</v>
      </c>
      <c r="B1347" s="15" t="n">
        <v>45937</v>
      </c>
      <c r="C1347" s="14" t="n">
        <v>1558.59</v>
      </c>
      <c r="D1347" s="14" t="n">
        <v>1895253</v>
      </c>
      <c r="E1347" s="16" t="n">
        <f aca="false">COUNTIFS($A$2:$A$1561,A1347,$B$2:$B$1561,"&gt;"&amp;B1347)+1</f>
        <v>215</v>
      </c>
      <c r="F1347" s="16" t="n">
        <f aca="false">IF(A1347=A1346,C1347-C1346,"")</f>
        <v>9.36999999999989</v>
      </c>
      <c r="G1347" s="16" t="n">
        <f aca="false">IF(A1347=A1346,IF(F1347&gt;0,F1347,0),"")</f>
        <v>9.36999999999989</v>
      </c>
      <c r="H1347" s="16" t="n">
        <f aca="false">IF(A1347=A1346,IF(F1347&lt;0,-F1347,0),"")</f>
        <v>0</v>
      </c>
    </row>
    <row r="1348" customFormat="false" ht="15" hidden="false" customHeight="false" outlineLevel="0" collapsed="false">
      <c r="A1348" s="14" t="s">
        <v>105</v>
      </c>
      <c r="B1348" s="15" t="n">
        <v>45938</v>
      </c>
      <c r="C1348" s="14" t="n">
        <v>1571.05</v>
      </c>
      <c r="D1348" s="14" t="n">
        <v>556413</v>
      </c>
      <c r="E1348" s="16" t="n">
        <f aca="false">COUNTIFS($A$2:$A$1561,A1348,$B$2:$B$1561,"&gt;"&amp;B1348)+1</f>
        <v>214</v>
      </c>
      <c r="F1348" s="16" t="n">
        <f aca="false">IF(A1348=A1347,C1348-C1347,"")</f>
        <v>12.46</v>
      </c>
      <c r="G1348" s="16" t="n">
        <f aca="false">IF(A1348=A1347,IF(F1348&gt;0,F1348,0),"")</f>
        <v>12.46</v>
      </c>
      <c r="H1348" s="16" t="n">
        <f aca="false">IF(A1348=A1347,IF(F1348&lt;0,-F1348,0),"")</f>
        <v>0</v>
      </c>
    </row>
    <row r="1349" customFormat="false" ht="15" hidden="false" customHeight="false" outlineLevel="0" collapsed="false">
      <c r="A1349" s="14" t="s">
        <v>105</v>
      </c>
      <c r="B1349" s="15" t="n">
        <v>45939</v>
      </c>
      <c r="C1349" s="14" t="n">
        <v>1577.57</v>
      </c>
      <c r="D1349" s="14" t="n">
        <v>2395117</v>
      </c>
      <c r="E1349" s="16" t="n">
        <f aca="false">COUNTIFS($A$2:$A$1561,A1349,$B$2:$B$1561,"&gt;"&amp;B1349)+1</f>
        <v>213</v>
      </c>
      <c r="F1349" s="16" t="n">
        <f aca="false">IF(A1349=A1348,C1349-C1348,"")</f>
        <v>6.51999999999998</v>
      </c>
      <c r="G1349" s="16" t="n">
        <f aca="false">IF(A1349=A1348,IF(F1349&gt;0,F1349,0),"")</f>
        <v>6.51999999999998</v>
      </c>
      <c r="H1349" s="16" t="n">
        <f aca="false">IF(A1349=A1348,IF(F1349&lt;0,-F1349,0),"")</f>
        <v>0</v>
      </c>
    </row>
    <row r="1350" customFormat="false" ht="15" hidden="false" customHeight="false" outlineLevel="0" collapsed="false">
      <c r="A1350" s="14" t="s">
        <v>105</v>
      </c>
      <c r="B1350" s="15" t="n">
        <v>45940</v>
      </c>
      <c r="C1350" s="14" t="n">
        <v>1580.23</v>
      </c>
      <c r="D1350" s="14" t="n">
        <v>1626217</v>
      </c>
      <c r="E1350" s="16" t="n">
        <f aca="false">COUNTIFS($A$2:$A$1561,A1350,$B$2:$B$1561,"&gt;"&amp;B1350)+1</f>
        <v>212</v>
      </c>
      <c r="F1350" s="16" t="n">
        <f aca="false">IF(A1350=A1349,C1350-C1349,"")</f>
        <v>2.66000000000008</v>
      </c>
      <c r="G1350" s="16" t="n">
        <f aca="false">IF(A1350=A1349,IF(F1350&gt;0,F1350,0),"")</f>
        <v>2.66000000000008</v>
      </c>
      <c r="H1350" s="16" t="n">
        <f aca="false">IF(A1350=A1349,IF(F1350&lt;0,-F1350,0),"")</f>
        <v>0</v>
      </c>
    </row>
    <row r="1351" customFormat="false" ht="15" hidden="false" customHeight="false" outlineLevel="0" collapsed="false">
      <c r="A1351" s="14" t="s">
        <v>105</v>
      </c>
      <c r="B1351" s="15" t="n">
        <v>45943</v>
      </c>
      <c r="C1351" s="14" t="n">
        <v>1572.21</v>
      </c>
      <c r="D1351" s="14" t="n">
        <v>2476012</v>
      </c>
      <c r="E1351" s="16" t="n">
        <f aca="false">COUNTIFS($A$2:$A$1561,A1351,$B$2:$B$1561,"&gt;"&amp;B1351)+1</f>
        <v>211</v>
      </c>
      <c r="F1351" s="16" t="n">
        <f aca="false">IF(A1351=A1350,C1351-C1350,"")</f>
        <v>-8.01999999999998</v>
      </c>
      <c r="G1351" s="16" t="n">
        <f aca="false">IF(A1351=A1350,IF(F1351&gt;0,F1351,0),"")</f>
        <v>0</v>
      </c>
      <c r="H1351" s="16" t="n">
        <f aca="false">IF(A1351=A1350,IF(F1351&lt;0,-F1351,0),"")</f>
        <v>8.01999999999998</v>
      </c>
    </row>
    <row r="1352" customFormat="false" ht="15" hidden="false" customHeight="false" outlineLevel="0" collapsed="false">
      <c r="A1352" s="14" t="s">
        <v>105</v>
      </c>
      <c r="B1352" s="15" t="n">
        <v>45944</v>
      </c>
      <c r="C1352" s="14" t="n">
        <v>1583.86</v>
      </c>
      <c r="D1352" s="14" t="n">
        <v>1484453</v>
      </c>
      <c r="E1352" s="16" t="n">
        <f aca="false">COUNTIFS($A$2:$A$1561,A1352,$B$2:$B$1561,"&gt;"&amp;B1352)+1</f>
        <v>210</v>
      </c>
      <c r="F1352" s="16" t="n">
        <f aca="false">IF(A1352=A1351,C1352-C1351,"")</f>
        <v>11.6499999999999</v>
      </c>
      <c r="G1352" s="16" t="n">
        <f aca="false">IF(A1352=A1351,IF(F1352&gt;0,F1352,0),"")</f>
        <v>11.6499999999999</v>
      </c>
      <c r="H1352" s="16" t="n">
        <f aca="false">IF(A1352=A1351,IF(F1352&lt;0,-F1352,0),"")</f>
        <v>0</v>
      </c>
    </row>
    <row r="1353" customFormat="false" ht="15" hidden="false" customHeight="false" outlineLevel="0" collapsed="false">
      <c r="A1353" s="14" t="s">
        <v>105</v>
      </c>
      <c r="B1353" s="15" t="n">
        <v>45945</v>
      </c>
      <c r="C1353" s="14" t="n">
        <v>1579.27</v>
      </c>
      <c r="D1353" s="14" t="n">
        <v>1480872</v>
      </c>
      <c r="E1353" s="16" t="n">
        <f aca="false">COUNTIFS($A$2:$A$1561,A1353,$B$2:$B$1561,"&gt;"&amp;B1353)+1</f>
        <v>209</v>
      </c>
      <c r="F1353" s="16" t="n">
        <f aca="false">IF(A1353=A1352,C1353-C1352,"")</f>
        <v>-4.58999999999992</v>
      </c>
      <c r="G1353" s="16" t="n">
        <f aca="false">IF(A1353=A1352,IF(F1353&gt;0,F1353,0),"")</f>
        <v>0</v>
      </c>
      <c r="H1353" s="16" t="n">
        <f aca="false">IF(A1353=A1352,IF(F1353&lt;0,-F1353,0),"")</f>
        <v>4.58999999999992</v>
      </c>
    </row>
    <row r="1354" customFormat="false" ht="15" hidden="false" customHeight="false" outlineLevel="0" collapsed="false">
      <c r="A1354" s="14" t="s">
        <v>105</v>
      </c>
      <c r="B1354" s="15" t="n">
        <v>45946</v>
      </c>
      <c r="C1354" s="14" t="n">
        <v>1568.48</v>
      </c>
      <c r="D1354" s="14" t="n">
        <v>965246</v>
      </c>
      <c r="E1354" s="16" t="n">
        <f aca="false">COUNTIFS($A$2:$A$1561,A1354,$B$2:$B$1561,"&gt;"&amp;B1354)+1</f>
        <v>208</v>
      </c>
      <c r="F1354" s="16" t="n">
        <f aca="false">IF(A1354=A1353,C1354-C1353,"")</f>
        <v>-10.79</v>
      </c>
      <c r="G1354" s="16" t="n">
        <f aca="false">IF(A1354=A1353,IF(F1354&gt;0,F1354,0),"")</f>
        <v>0</v>
      </c>
      <c r="H1354" s="16" t="n">
        <f aca="false">IF(A1354=A1353,IF(F1354&lt;0,-F1354,0),"")</f>
        <v>10.79</v>
      </c>
    </row>
    <row r="1355" customFormat="false" ht="15" hidden="false" customHeight="false" outlineLevel="0" collapsed="false">
      <c r="A1355" s="14" t="s">
        <v>105</v>
      </c>
      <c r="B1355" s="15" t="n">
        <v>45947</v>
      </c>
      <c r="C1355" s="14" t="n">
        <v>1561.39</v>
      </c>
      <c r="D1355" s="14" t="n">
        <v>1552897</v>
      </c>
      <c r="E1355" s="16" t="n">
        <f aca="false">COUNTIFS($A$2:$A$1561,A1355,$B$2:$B$1561,"&gt;"&amp;B1355)+1</f>
        <v>207</v>
      </c>
      <c r="F1355" s="16" t="n">
        <f aca="false">IF(A1355=A1354,C1355-C1354,"")</f>
        <v>-7.08999999999992</v>
      </c>
      <c r="G1355" s="16" t="n">
        <f aca="false">IF(A1355=A1354,IF(F1355&gt;0,F1355,0),"")</f>
        <v>0</v>
      </c>
      <c r="H1355" s="16" t="n">
        <f aca="false">IF(A1355=A1354,IF(F1355&lt;0,-F1355,0),"")</f>
        <v>7.08999999999992</v>
      </c>
    </row>
    <row r="1356" customFormat="false" ht="15" hidden="false" customHeight="false" outlineLevel="0" collapsed="false">
      <c r="A1356" s="14" t="s">
        <v>105</v>
      </c>
      <c r="B1356" s="15" t="n">
        <v>45950</v>
      </c>
      <c r="C1356" s="14" t="n">
        <v>1548.2</v>
      </c>
      <c r="D1356" s="14" t="n">
        <v>2335792</v>
      </c>
      <c r="E1356" s="16" t="n">
        <f aca="false">COUNTIFS($A$2:$A$1561,A1356,$B$2:$B$1561,"&gt;"&amp;B1356)+1</f>
        <v>206</v>
      </c>
      <c r="F1356" s="16" t="n">
        <f aca="false">IF(A1356=A1355,C1356-C1355,"")</f>
        <v>-13.1900000000001</v>
      </c>
      <c r="G1356" s="16" t="n">
        <f aca="false">IF(A1356=A1355,IF(F1356&gt;0,F1356,0),"")</f>
        <v>0</v>
      </c>
      <c r="H1356" s="16" t="n">
        <f aca="false">IF(A1356=A1355,IF(F1356&lt;0,-F1356,0),"")</f>
        <v>13.1900000000001</v>
      </c>
    </row>
    <row r="1357" customFormat="false" ht="15" hidden="false" customHeight="false" outlineLevel="0" collapsed="false">
      <c r="A1357" s="14" t="s">
        <v>105</v>
      </c>
      <c r="B1357" s="15" t="n">
        <v>45951</v>
      </c>
      <c r="C1357" s="14" t="n">
        <v>1540.71</v>
      </c>
      <c r="D1357" s="14" t="n">
        <v>760979</v>
      </c>
      <c r="E1357" s="16" t="n">
        <f aca="false">COUNTIFS($A$2:$A$1561,A1357,$B$2:$B$1561,"&gt;"&amp;B1357)+1</f>
        <v>205</v>
      </c>
      <c r="F1357" s="16" t="n">
        <f aca="false">IF(A1357=A1356,C1357-C1356,"")</f>
        <v>-7.49000000000001</v>
      </c>
      <c r="G1357" s="16" t="n">
        <f aca="false">IF(A1357=A1356,IF(F1357&gt;0,F1357,0),"")</f>
        <v>0</v>
      </c>
      <c r="H1357" s="16" t="n">
        <f aca="false">IF(A1357=A1356,IF(F1357&lt;0,-F1357,0),"")</f>
        <v>7.49000000000001</v>
      </c>
    </row>
    <row r="1358" customFormat="false" ht="15" hidden="false" customHeight="false" outlineLevel="0" collapsed="false">
      <c r="A1358" s="14" t="s">
        <v>105</v>
      </c>
      <c r="B1358" s="15" t="n">
        <v>45952</v>
      </c>
      <c r="C1358" s="14" t="n">
        <v>1547.56</v>
      </c>
      <c r="D1358" s="14" t="n">
        <v>2337561</v>
      </c>
      <c r="E1358" s="16" t="n">
        <f aca="false">COUNTIFS($A$2:$A$1561,A1358,$B$2:$B$1561,"&gt;"&amp;B1358)+1</f>
        <v>204</v>
      </c>
      <c r="F1358" s="16" t="n">
        <f aca="false">IF(A1358=A1357,C1358-C1357,"")</f>
        <v>6.84999999999991</v>
      </c>
      <c r="G1358" s="16" t="n">
        <f aca="false">IF(A1358=A1357,IF(F1358&gt;0,F1358,0),"")</f>
        <v>6.84999999999991</v>
      </c>
      <c r="H1358" s="16" t="n">
        <f aca="false">IF(A1358=A1357,IF(F1358&lt;0,-F1358,0),"")</f>
        <v>0</v>
      </c>
    </row>
    <row r="1359" customFormat="false" ht="15" hidden="false" customHeight="false" outlineLevel="0" collapsed="false">
      <c r="A1359" s="14" t="s">
        <v>105</v>
      </c>
      <c r="B1359" s="15" t="n">
        <v>45953</v>
      </c>
      <c r="C1359" s="14" t="n">
        <v>1557.99</v>
      </c>
      <c r="D1359" s="14" t="n">
        <v>1147177</v>
      </c>
      <c r="E1359" s="16" t="n">
        <f aca="false">COUNTIFS($A$2:$A$1561,A1359,$B$2:$B$1561,"&gt;"&amp;B1359)+1</f>
        <v>203</v>
      </c>
      <c r="F1359" s="16" t="n">
        <f aca="false">IF(A1359=A1358,C1359-C1358,"")</f>
        <v>10.4300000000001</v>
      </c>
      <c r="G1359" s="16" t="n">
        <f aca="false">IF(A1359=A1358,IF(F1359&gt;0,F1359,0),"")</f>
        <v>10.4300000000001</v>
      </c>
      <c r="H1359" s="16" t="n">
        <f aca="false">IF(A1359=A1358,IF(F1359&lt;0,-F1359,0),"")</f>
        <v>0</v>
      </c>
    </row>
    <row r="1360" customFormat="false" ht="15" hidden="false" customHeight="false" outlineLevel="0" collapsed="false">
      <c r="A1360" s="14" t="s">
        <v>105</v>
      </c>
      <c r="B1360" s="15" t="n">
        <v>45954</v>
      </c>
      <c r="C1360" s="14" t="n">
        <v>1545.42</v>
      </c>
      <c r="D1360" s="14" t="n">
        <v>1673218</v>
      </c>
      <c r="E1360" s="16" t="n">
        <f aca="false">COUNTIFS($A$2:$A$1561,A1360,$B$2:$B$1561,"&gt;"&amp;B1360)+1</f>
        <v>202</v>
      </c>
      <c r="F1360" s="16" t="n">
        <f aca="false">IF(A1360=A1359,C1360-C1359,"")</f>
        <v>-12.5699999999999</v>
      </c>
      <c r="G1360" s="16" t="n">
        <f aca="false">IF(A1360=A1359,IF(F1360&gt;0,F1360,0),"")</f>
        <v>0</v>
      </c>
      <c r="H1360" s="16" t="n">
        <f aca="false">IF(A1360=A1359,IF(F1360&lt;0,-F1360,0),"")</f>
        <v>12.5699999999999</v>
      </c>
    </row>
    <row r="1361" customFormat="false" ht="15" hidden="false" customHeight="false" outlineLevel="0" collapsed="false">
      <c r="A1361" s="14" t="s">
        <v>105</v>
      </c>
      <c r="B1361" s="15" t="n">
        <v>45957</v>
      </c>
      <c r="C1361" s="14" t="n">
        <v>1557.86</v>
      </c>
      <c r="D1361" s="14" t="n">
        <v>2048732</v>
      </c>
      <c r="E1361" s="16" t="n">
        <f aca="false">COUNTIFS($A$2:$A$1561,A1361,$B$2:$B$1561,"&gt;"&amp;B1361)+1</f>
        <v>201</v>
      </c>
      <c r="F1361" s="16" t="n">
        <f aca="false">IF(A1361=A1360,C1361-C1360,"")</f>
        <v>12.4399999999998</v>
      </c>
      <c r="G1361" s="16" t="n">
        <f aca="false">IF(A1361=A1360,IF(F1361&gt;0,F1361,0),"")</f>
        <v>12.4399999999998</v>
      </c>
      <c r="H1361" s="16" t="n">
        <f aca="false">IF(A1361=A1360,IF(F1361&lt;0,-F1361,0),"")</f>
        <v>0</v>
      </c>
    </row>
    <row r="1362" customFormat="false" ht="15" hidden="false" customHeight="false" outlineLevel="0" collapsed="false">
      <c r="A1362" s="14" t="s">
        <v>105</v>
      </c>
      <c r="B1362" s="15" t="n">
        <v>45958</v>
      </c>
      <c r="C1362" s="14" t="n">
        <v>1568.42</v>
      </c>
      <c r="D1362" s="14" t="n">
        <v>2221338</v>
      </c>
      <c r="E1362" s="16" t="n">
        <f aca="false">COUNTIFS($A$2:$A$1561,A1362,$B$2:$B$1561,"&gt;"&amp;B1362)+1</f>
        <v>200</v>
      </c>
      <c r="F1362" s="16" t="n">
        <f aca="false">IF(A1362=A1361,C1362-C1361,"")</f>
        <v>10.5600000000002</v>
      </c>
      <c r="G1362" s="16" t="n">
        <f aca="false">IF(A1362=A1361,IF(F1362&gt;0,F1362,0),"")</f>
        <v>10.5600000000002</v>
      </c>
      <c r="H1362" s="16" t="n">
        <f aca="false">IF(A1362=A1361,IF(F1362&lt;0,-F1362,0),"")</f>
        <v>0</v>
      </c>
    </row>
    <row r="1363" customFormat="false" ht="15" hidden="false" customHeight="false" outlineLevel="0" collapsed="false">
      <c r="A1363" s="14" t="s">
        <v>105</v>
      </c>
      <c r="B1363" s="15" t="n">
        <v>45959</v>
      </c>
      <c r="C1363" s="14" t="n">
        <v>1582.27</v>
      </c>
      <c r="D1363" s="14" t="n">
        <v>1247181</v>
      </c>
      <c r="E1363" s="16" t="n">
        <f aca="false">COUNTIFS($A$2:$A$1561,A1363,$B$2:$B$1561,"&gt;"&amp;B1363)+1</f>
        <v>199</v>
      </c>
      <c r="F1363" s="16" t="n">
        <f aca="false">IF(A1363=A1362,C1363-C1362,"")</f>
        <v>13.8499999999999</v>
      </c>
      <c r="G1363" s="16" t="n">
        <f aca="false">IF(A1363=A1362,IF(F1363&gt;0,F1363,0),"")</f>
        <v>13.8499999999999</v>
      </c>
      <c r="H1363" s="16" t="n">
        <f aca="false">IF(A1363=A1362,IF(F1363&lt;0,-F1363,0),"")</f>
        <v>0</v>
      </c>
    </row>
    <row r="1364" customFormat="false" ht="15" hidden="false" customHeight="false" outlineLevel="0" collapsed="false">
      <c r="A1364" s="14" t="s">
        <v>105</v>
      </c>
      <c r="B1364" s="15" t="n">
        <v>45960</v>
      </c>
      <c r="C1364" s="14" t="n">
        <v>1595.71</v>
      </c>
      <c r="D1364" s="14" t="n">
        <v>1291191</v>
      </c>
      <c r="E1364" s="16" t="n">
        <f aca="false">COUNTIFS($A$2:$A$1561,A1364,$B$2:$B$1561,"&gt;"&amp;B1364)+1</f>
        <v>198</v>
      </c>
      <c r="F1364" s="16" t="n">
        <f aca="false">IF(A1364=A1363,C1364-C1363,"")</f>
        <v>13.4400000000001</v>
      </c>
      <c r="G1364" s="16" t="n">
        <f aca="false">IF(A1364=A1363,IF(F1364&gt;0,F1364,0),"")</f>
        <v>13.4400000000001</v>
      </c>
      <c r="H1364" s="16" t="n">
        <f aca="false">IF(A1364=A1363,IF(F1364&lt;0,-F1364,0),"")</f>
        <v>0</v>
      </c>
    </row>
    <row r="1365" customFormat="false" ht="15" hidden="false" customHeight="false" outlineLevel="0" collapsed="false">
      <c r="A1365" s="14" t="s">
        <v>105</v>
      </c>
      <c r="B1365" s="15" t="n">
        <v>45961</v>
      </c>
      <c r="C1365" s="14" t="n">
        <v>1585.11</v>
      </c>
      <c r="D1365" s="14" t="n">
        <v>1103530</v>
      </c>
      <c r="E1365" s="16" t="n">
        <f aca="false">COUNTIFS($A$2:$A$1561,A1365,$B$2:$B$1561,"&gt;"&amp;B1365)+1</f>
        <v>197</v>
      </c>
      <c r="F1365" s="16" t="n">
        <f aca="false">IF(A1365=A1364,C1365-C1364,"")</f>
        <v>-10.6000000000001</v>
      </c>
      <c r="G1365" s="16" t="n">
        <f aca="false">IF(A1365=A1364,IF(F1365&gt;0,F1365,0),"")</f>
        <v>0</v>
      </c>
      <c r="H1365" s="16" t="n">
        <f aca="false">IF(A1365=A1364,IF(F1365&lt;0,-F1365,0),"")</f>
        <v>10.6000000000001</v>
      </c>
    </row>
    <row r="1366" customFormat="false" ht="15" hidden="false" customHeight="false" outlineLevel="0" collapsed="false">
      <c r="A1366" s="14" t="s">
        <v>105</v>
      </c>
      <c r="B1366" s="15" t="n">
        <v>45964</v>
      </c>
      <c r="C1366" s="14" t="n">
        <v>1575.59</v>
      </c>
      <c r="D1366" s="14" t="n">
        <v>815007</v>
      </c>
      <c r="E1366" s="16" t="n">
        <f aca="false">COUNTIFS($A$2:$A$1561,A1366,$B$2:$B$1561,"&gt;"&amp;B1366)+1</f>
        <v>196</v>
      </c>
      <c r="F1366" s="16" t="n">
        <f aca="false">IF(A1366=A1365,C1366-C1365,"")</f>
        <v>-9.51999999999998</v>
      </c>
      <c r="G1366" s="16" t="n">
        <f aca="false">IF(A1366=A1365,IF(F1366&gt;0,F1366,0),"")</f>
        <v>0</v>
      </c>
      <c r="H1366" s="16" t="n">
        <f aca="false">IF(A1366=A1365,IF(F1366&lt;0,-F1366,0),"")</f>
        <v>9.51999999999998</v>
      </c>
    </row>
    <row r="1367" customFormat="false" ht="15" hidden="false" customHeight="false" outlineLevel="0" collapsed="false">
      <c r="A1367" s="14" t="s">
        <v>105</v>
      </c>
      <c r="B1367" s="15" t="n">
        <v>45965</v>
      </c>
      <c r="C1367" s="14" t="n">
        <v>1589.17</v>
      </c>
      <c r="D1367" s="14" t="n">
        <v>2083685</v>
      </c>
      <c r="E1367" s="16" t="n">
        <f aca="false">COUNTIFS($A$2:$A$1561,A1367,$B$2:$B$1561,"&gt;"&amp;B1367)+1</f>
        <v>195</v>
      </c>
      <c r="F1367" s="16" t="n">
        <f aca="false">IF(A1367=A1366,C1367-C1366,"")</f>
        <v>13.5800000000002</v>
      </c>
      <c r="G1367" s="16" t="n">
        <f aca="false">IF(A1367=A1366,IF(F1367&gt;0,F1367,0),"")</f>
        <v>13.5800000000002</v>
      </c>
      <c r="H1367" s="16" t="n">
        <f aca="false">IF(A1367=A1366,IF(F1367&lt;0,-F1367,0),"")</f>
        <v>0</v>
      </c>
    </row>
    <row r="1368" customFormat="false" ht="15" hidden="false" customHeight="false" outlineLevel="0" collapsed="false">
      <c r="A1368" s="14" t="s">
        <v>105</v>
      </c>
      <c r="B1368" s="15" t="n">
        <v>45966</v>
      </c>
      <c r="C1368" s="14" t="n">
        <v>1603.21</v>
      </c>
      <c r="D1368" s="14" t="n">
        <v>1798360</v>
      </c>
      <c r="E1368" s="16" t="n">
        <f aca="false">COUNTIFS($A$2:$A$1561,A1368,$B$2:$B$1561,"&gt;"&amp;B1368)+1</f>
        <v>194</v>
      </c>
      <c r="F1368" s="16" t="n">
        <f aca="false">IF(A1368=A1367,C1368-C1367,"")</f>
        <v>14.04</v>
      </c>
      <c r="G1368" s="16" t="n">
        <f aca="false">IF(A1368=A1367,IF(F1368&gt;0,F1368,0),"")</f>
        <v>14.04</v>
      </c>
      <c r="H1368" s="16" t="n">
        <f aca="false">IF(A1368=A1367,IF(F1368&lt;0,-F1368,0),"")</f>
        <v>0</v>
      </c>
    </row>
    <row r="1369" customFormat="false" ht="15" hidden="false" customHeight="false" outlineLevel="0" collapsed="false">
      <c r="A1369" s="14" t="s">
        <v>105</v>
      </c>
      <c r="B1369" s="15" t="n">
        <v>45967</v>
      </c>
      <c r="C1369" s="14" t="n">
        <v>1594.67</v>
      </c>
      <c r="D1369" s="14" t="n">
        <v>2437485</v>
      </c>
      <c r="E1369" s="16" t="n">
        <f aca="false">COUNTIFS($A$2:$A$1561,A1369,$B$2:$B$1561,"&gt;"&amp;B1369)+1</f>
        <v>193</v>
      </c>
      <c r="F1369" s="16" t="n">
        <f aca="false">IF(A1369=A1368,C1369-C1368,"")</f>
        <v>-8.53999999999996</v>
      </c>
      <c r="G1369" s="16" t="n">
        <f aca="false">IF(A1369=A1368,IF(F1369&gt;0,F1369,0),"")</f>
        <v>0</v>
      </c>
      <c r="H1369" s="16" t="n">
        <f aca="false">IF(A1369=A1368,IF(F1369&lt;0,-F1369,0),"")</f>
        <v>8.53999999999996</v>
      </c>
    </row>
    <row r="1370" customFormat="false" ht="15" hidden="false" customHeight="false" outlineLevel="0" collapsed="false">
      <c r="A1370" s="14" t="s">
        <v>105</v>
      </c>
      <c r="B1370" s="15" t="n">
        <v>45968</v>
      </c>
      <c r="C1370" s="14" t="n">
        <v>1601.09</v>
      </c>
      <c r="D1370" s="14" t="n">
        <v>2357690</v>
      </c>
      <c r="E1370" s="16" t="n">
        <f aca="false">COUNTIFS($A$2:$A$1561,A1370,$B$2:$B$1561,"&gt;"&amp;B1370)+1</f>
        <v>192</v>
      </c>
      <c r="F1370" s="16" t="n">
        <f aca="false">IF(A1370=A1369,C1370-C1369,"")</f>
        <v>6.41999999999985</v>
      </c>
      <c r="G1370" s="16" t="n">
        <f aca="false">IF(A1370=A1369,IF(F1370&gt;0,F1370,0),"")</f>
        <v>6.41999999999985</v>
      </c>
      <c r="H1370" s="16" t="n">
        <f aca="false">IF(A1370=A1369,IF(F1370&lt;0,-F1370,0),"")</f>
        <v>0</v>
      </c>
    </row>
    <row r="1371" customFormat="false" ht="15" hidden="false" customHeight="false" outlineLevel="0" collapsed="false">
      <c r="A1371" s="14" t="s">
        <v>105</v>
      </c>
      <c r="B1371" s="15" t="n">
        <v>45971</v>
      </c>
      <c r="C1371" s="14" t="n">
        <v>1610.22</v>
      </c>
      <c r="D1371" s="14" t="n">
        <v>946474</v>
      </c>
      <c r="E1371" s="16" t="n">
        <f aca="false">COUNTIFS($A$2:$A$1561,A1371,$B$2:$B$1561,"&gt;"&amp;B1371)+1</f>
        <v>191</v>
      </c>
      <c r="F1371" s="16" t="n">
        <f aca="false">IF(A1371=A1370,C1371-C1370,"")</f>
        <v>9.13000000000011</v>
      </c>
      <c r="G1371" s="16" t="n">
        <f aca="false">IF(A1371=A1370,IF(F1371&gt;0,F1371,0),"")</f>
        <v>9.13000000000011</v>
      </c>
      <c r="H1371" s="16" t="n">
        <f aca="false">IF(A1371=A1370,IF(F1371&lt;0,-F1371,0),"")</f>
        <v>0</v>
      </c>
    </row>
    <row r="1372" customFormat="false" ht="15" hidden="false" customHeight="false" outlineLevel="0" collapsed="false">
      <c r="A1372" s="14" t="s">
        <v>105</v>
      </c>
      <c r="B1372" s="15" t="n">
        <v>45972</v>
      </c>
      <c r="C1372" s="14" t="n">
        <v>1613.67</v>
      </c>
      <c r="D1372" s="14" t="n">
        <v>850703</v>
      </c>
      <c r="E1372" s="16" t="n">
        <f aca="false">COUNTIFS($A$2:$A$1561,A1372,$B$2:$B$1561,"&gt;"&amp;B1372)+1</f>
        <v>190</v>
      </c>
      <c r="F1372" s="16" t="n">
        <f aca="false">IF(A1372=A1371,C1372-C1371,"")</f>
        <v>3.45000000000005</v>
      </c>
      <c r="G1372" s="16" t="n">
        <f aca="false">IF(A1372=A1371,IF(F1372&gt;0,F1372,0),"")</f>
        <v>3.45000000000005</v>
      </c>
      <c r="H1372" s="16" t="n">
        <f aca="false">IF(A1372=A1371,IF(F1372&lt;0,-F1372,0),"")</f>
        <v>0</v>
      </c>
    </row>
    <row r="1373" customFormat="false" ht="15" hidden="false" customHeight="false" outlineLevel="0" collapsed="false">
      <c r="A1373" s="14" t="s">
        <v>105</v>
      </c>
      <c r="B1373" s="15" t="n">
        <v>45973</v>
      </c>
      <c r="C1373" s="14" t="n">
        <v>1608.93</v>
      </c>
      <c r="D1373" s="14" t="n">
        <v>1876996</v>
      </c>
      <c r="E1373" s="16" t="n">
        <f aca="false">COUNTIFS($A$2:$A$1561,A1373,$B$2:$B$1561,"&gt;"&amp;B1373)+1</f>
        <v>189</v>
      </c>
      <c r="F1373" s="16" t="n">
        <f aca="false">IF(A1373=A1372,C1373-C1372,"")</f>
        <v>-4.74000000000001</v>
      </c>
      <c r="G1373" s="16" t="n">
        <f aca="false">IF(A1373=A1372,IF(F1373&gt;0,F1373,0),"")</f>
        <v>0</v>
      </c>
      <c r="H1373" s="16" t="n">
        <f aca="false">IF(A1373=A1372,IF(F1373&lt;0,-F1373,0),"")</f>
        <v>4.74000000000001</v>
      </c>
    </row>
    <row r="1374" customFormat="false" ht="15" hidden="false" customHeight="false" outlineLevel="0" collapsed="false">
      <c r="A1374" s="14" t="s">
        <v>105</v>
      </c>
      <c r="B1374" s="15" t="n">
        <v>45974</v>
      </c>
      <c r="C1374" s="14" t="n">
        <v>1599.01</v>
      </c>
      <c r="D1374" s="14" t="n">
        <v>1957661</v>
      </c>
      <c r="E1374" s="16" t="n">
        <f aca="false">COUNTIFS($A$2:$A$1561,A1374,$B$2:$B$1561,"&gt;"&amp;B1374)+1</f>
        <v>188</v>
      </c>
      <c r="F1374" s="16" t="n">
        <f aca="false">IF(A1374=A1373,C1374-C1373,"")</f>
        <v>-9.92000000000007</v>
      </c>
      <c r="G1374" s="16" t="n">
        <f aca="false">IF(A1374=A1373,IF(F1374&gt;0,F1374,0),"")</f>
        <v>0</v>
      </c>
      <c r="H1374" s="16" t="n">
        <f aca="false">IF(A1374=A1373,IF(F1374&lt;0,-F1374,0),"")</f>
        <v>9.92000000000007</v>
      </c>
    </row>
    <row r="1375" customFormat="false" ht="15" hidden="false" customHeight="false" outlineLevel="0" collapsed="false">
      <c r="A1375" s="14" t="s">
        <v>105</v>
      </c>
      <c r="B1375" s="15" t="n">
        <v>45975</v>
      </c>
      <c r="C1375" s="14" t="n">
        <v>1612.79</v>
      </c>
      <c r="D1375" s="14" t="n">
        <v>2397396</v>
      </c>
      <c r="E1375" s="16" t="n">
        <f aca="false">COUNTIFS($A$2:$A$1561,A1375,$B$2:$B$1561,"&gt;"&amp;B1375)+1</f>
        <v>187</v>
      </c>
      <c r="F1375" s="16" t="n">
        <f aca="false">IF(A1375=A1374,C1375-C1374,"")</f>
        <v>13.78</v>
      </c>
      <c r="G1375" s="16" t="n">
        <f aca="false">IF(A1375=A1374,IF(F1375&gt;0,F1375,0),"")</f>
        <v>13.78</v>
      </c>
      <c r="H1375" s="16" t="n">
        <f aca="false">IF(A1375=A1374,IF(F1375&lt;0,-F1375,0),"")</f>
        <v>0</v>
      </c>
    </row>
    <row r="1376" customFormat="false" ht="15" hidden="false" customHeight="false" outlineLevel="0" collapsed="false">
      <c r="A1376" s="14" t="s">
        <v>105</v>
      </c>
      <c r="B1376" s="15" t="n">
        <v>45978</v>
      </c>
      <c r="C1376" s="14" t="n">
        <v>1610.51</v>
      </c>
      <c r="D1376" s="14" t="n">
        <v>2488566</v>
      </c>
      <c r="E1376" s="16" t="n">
        <f aca="false">COUNTIFS($A$2:$A$1561,A1376,$B$2:$B$1561,"&gt;"&amp;B1376)+1</f>
        <v>186</v>
      </c>
      <c r="F1376" s="16" t="n">
        <f aca="false">IF(A1376=A1375,C1376-C1375,"")</f>
        <v>-2.27999999999997</v>
      </c>
      <c r="G1376" s="16" t="n">
        <f aca="false">IF(A1376=A1375,IF(F1376&gt;0,F1376,0),"")</f>
        <v>0</v>
      </c>
      <c r="H1376" s="16" t="n">
        <f aca="false">IF(A1376=A1375,IF(F1376&lt;0,-F1376,0),"")</f>
        <v>2.27999999999997</v>
      </c>
    </row>
    <row r="1377" customFormat="false" ht="15" hidden="false" customHeight="false" outlineLevel="0" collapsed="false">
      <c r="A1377" s="14" t="s">
        <v>105</v>
      </c>
      <c r="B1377" s="15" t="n">
        <v>45979</v>
      </c>
      <c r="C1377" s="14" t="n">
        <v>1624.87</v>
      </c>
      <c r="D1377" s="14" t="n">
        <v>564765</v>
      </c>
      <c r="E1377" s="16" t="n">
        <f aca="false">COUNTIFS($A$2:$A$1561,A1377,$B$2:$B$1561,"&gt;"&amp;B1377)+1</f>
        <v>185</v>
      </c>
      <c r="F1377" s="16" t="n">
        <f aca="false">IF(A1377=A1376,C1377-C1376,"")</f>
        <v>14.3599999999999</v>
      </c>
      <c r="G1377" s="16" t="n">
        <f aca="false">IF(A1377=A1376,IF(F1377&gt;0,F1377,0),"")</f>
        <v>14.3599999999999</v>
      </c>
      <c r="H1377" s="16" t="n">
        <f aca="false">IF(A1377=A1376,IF(F1377&lt;0,-F1377,0),"")</f>
        <v>0</v>
      </c>
    </row>
    <row r="1378" customFormat="false" ht="15" hidden="false" customHeight="false" outlineLevel="0" collapsed="false">
      <c r="A1378" s="14" t="s">
        <v>105</v>
      </c>
      <c r="B1378" s="15" t="n">
        <v>45980</v>
      </c>
      <c r="C1378" s="14" t="n">
        <v>1628.74</v>
      </c>
      <c r="D1378" s="14" t="n">
        <v>2342076</v>
      </c>
      <c r="E1378" s="16" t="n">
        <f aca="false">COUNTIFS($A$2:$A$1561,A1378,$B$2:$B$1561,"&gt;"&amp;B1378)+1</f>
        <v>184</v>
      </c>
      <c r="F1378" s="16" t="n">
        <f aca="false">IF(A1378=A1377,C1378-C1377,"")</f>
        <v>3.87000000000012</v>
      </c>
      <c r="G1378" s="16" t="n">
        <f aca="false">IF(A1378=A1377,IF(F1378&gt;0,F1378,0),"")</f>
        <v>3.87000000000012</v>
      </c>
      <c r="H1378" s="16" t="n">
        <f aca="false">IF(A1378=A1377,IF(F1378&lt;0,-F1378,0),"")</f>
        <v>0</v>
      </c>
    </row>
    <row r="1379" customFormat="false" ht="15" hidden="false" customHeight="false" outlineLevel="0" collapsed="false">
      <c r="A1379" s="14" t="s">
        <v>105</v>
      </c>
      <c r="B1379" s="15" t="n">
        <v>45981</v>
      </c>
      <c r="C1379" s="14" t="n">
        <v>1643.32</v>
      </c>
      <c r="D1379" s="14" t="n">
        <v>941790</v>
      </c>
      <c r="E1379" s="16" t="n">
        <f aca="false">COUNTIFS($A$2:$A$1561,A1379,$B$2:$B$1561,"&gt;"&amp;B1379)+1</f>
        <v>183</v>
      </c>
      <c r="F1379" s="16" t="n">
        <f aca="false">IF(A1379=A1378,C1379-C1378,"")</f>
        <v>14.5799999999999</v>
      </c>
      <c r="G1379" s="16" t="n">
        <f aca="false">IF(A1379=A1378,IF(F1379&gt;0,F1379,0),"")</f>
        <v>14.5799999999999</v>
      </c>
      <c r="H1379" s="16" t="n">
        <f aca="false">IF(A1379=A1378,IF(F1379&lt;0,-F1379,0),"")</f>
        <v>0</v>
      </c>
    </row>
    <row r="1380" customFormat="false" ht="15" hidden="false" customHeight="false" outlineLevel="0" collapsed="false">
      <c r="A1380" s="14" t="s">
        <v>105</v>
      </c>
      <c r="B1380" s="15" t="n">
        <v>45982</v>
      </c>
      <c r="C1380" s="14" t="n">
        <v>1646.15</v>
      </c>
      <c r="D1380" s="14" t="n">
        <v>2373375</v>
      </c>
      <c r="E1380" s="16" t="n">
        <f aca="false">COUNTIFS($A$2:$A$1561,A1380,$B$2:$B$1561,"&gt;"&amp;B1380)+1</f>
        <v>182</v>
      </c>
      <c r="F1380" s="16" t="n">
        <f aca="false">IF(A1380=A1379,C1380-C1379,"")</f>
        <v>2.83000000000015</v>
      </c>
      <c r="G1380" s="16" t="n">
        <f aca="false">IF(A1380=A1379,IF(F1380&gt;0,F1380,0),"")</f>
        <v>2.83000000000015</v>
      </c>
      <c r="H1380" s="16" t="n">
        <f aca="false">IF(A1380=A1379,IF(F1380&lt;0,-F1380,0),"")</f>
        <v>0</v>
      </c>
    </row>
    <row r="1381" customFormat="false" ht="15" hidden="false" customHeight="false" outlineLevel="0" collapsed="false">
      <c r="A1381" s="14" t="s">
        <v>105</v>
      </c>
      <c r="B1381" s="15" t="n">
        <v>45985</v>
      </c>
      <c r="C1381" s="14" t="n">
        <v>1636.39</v>
      </c>
      <c r="D1381" s="14" t="n">
        <v>1990686</v>
      </c>
      <c r="E1381" s="16" t="n">
        <f aca="false">COUNTIFS($A$2:$A$1561,A1381,$B$2:$B$1561,"&gt;"&amp;B1381)+1</f>
        <v>181</v>
      </c>
      <c r="F1381" s="16" t="n">
        <f aca="false">IF(A1381=A1380,C1381-C1380,"")</f>
        <v>-9.75999999999999</v>
      </c>
      <c r="G1381" s="16" t="n">
        <f aca="false">IF(A1381=A1380,IF(F1381&gt;0,F1381,0),"")</f>
        <v>0</v>
      </c>
      <c r="H1381" s="16" t="n">
        <f aca="false">IF(A1381=A1380,IF(F1381&lt;0,-F1381,0),"")</f>
        <v>9.75999999999999</v>
      </c>
    </row>
    <row r="1382" customFormat="false" ht="15" hidden="false" customHeight="false" outlineLevel="0" collapsed="false">
      <c r="A1382" s="14" t="s">
        <v>105</v>
      </c>
      <c r="B1382" s="15" t="n">
        <v>45986</v>
      </c>
      <c r="C1382" s="14" t="n">
        <v>1629.56</v>
      </c>
      <c r="D1382" s="14" t="n">
        <v>2464759</v>
      </c>
      <c r="E1382" s="16" t="n">
        <f aca="false">COUNTIFS($A$2:$A$1561,A1382,$B$2:$B$1561,"&gt;"&amp;B1382)+1</f>
        <v>180</v>
      </c>
      <c r="F1382" s="16" t="n">
        <f aca="false">IF(A1382=A1381,C1382-C1381,"")</f>
        <v>-6.83000000000016</v>
      </c>
      <c r="G1382" s="16" t="n">
        <f aca="false">IF(A1382=A1381,IF(F1382&gt;0,F1382,0),"")</f>
        <v>0</v>
      </c>
      <c r="H1382" s="16" t="n">
        <f aca="false">IF(A1382=A1381,IF(F1382&lt;0,-F1382,0),"")</f>
        <v>6.83000000000016</v>
      </c>
    </row>
    <row r="1383" customFormat="false" ht="15" hidden="false" customHeight="false" outlineLevel="0" collapsed="false">
      <c r="A1383" s="14" t="s">
        <v>105</v>
      </c>
      <c r="B1383" s="15" t="n">
        <v>45987</v>
      </c>
      <c r="C1383" s="14" t="n">
        <v>1620.7</v>
      </c>
      <c r="D1383" s="14" t="n">
        <v>2270640</v>
      </c>
      <c r="E1383" s="16" t="n">
        <f aca="false">COUNTIFS($A$2:$A$1561,A1383,$B$2:$B$1561,"&gt;"&amp;B1383)+1</f>
        <v>179</v>
      </c>
      <c r="F1383" s="16" t="n">
        <f aca="false">IF(A1383=A1382,C1383-C1382,"")</f>
        <v>-8.8599999999999</v>
      </c>
      <c r="G1383" s="16" t="n">
        <f aca="false">IF(A1383=A1382,IF(F1383&gt;0,F1383,0),"")</f>
        <v>0</v>
      </c>
      <c r="H1383" s="16" t="n">
        <f aca="false">IF(A1383=A1382,IF(F1383&lt;0,-F1383,0),"")</f>
        <v>8.8599999999999</v>
      </c>
    </row>
    <row r="1384" customFormat="false" ht="15" hidden="false" customHeight="false" outlineLevel="0" collapsed="false">
      <c r="A1384" s="14" t="s">
        <v>105</v>
      </c>
      <c r="B1384" s="15" t="n">
        <v>45988</v>
      </c>
      <c r="C1384" s="14" t="n">
        <v>1609.57</v>
      </c>
      <c r="D1384" s="14" t="n">
        <v>1917931</v>
      </c>
      <c r="E1384" s="16" t="n">
        <f aca="false">COUNTIFS($A$2:$A$1561,A1384,$B$2:$B$1561,"&gt;"&amp;B1384)+1</f>
        <v>178</v>
      </c>
      <c r="F1384" s="16" t="n">
        <f aca="false">IF(A1384=A1383,C1384-C1383,"")</f>
        <v>-11.1300000000001</v>
      </c>
      <c r="G1384" s="16" t="n">
        <f aca="false">IF(A1384=A1383,IF(F1384&gt;0,F1384,0),"")</f>
        <v>0</v>
      </c>
      <c r="H1384" s="16" t="n">
        <f aca="false">IF(A1384=A1383,IF(F1384&lt;0,-F1384,0),"")</f>
        <v>11.1300000000001</v>
      </c>
    </row>
    <row r="1385" customFormat="false" ht="15" hidden="false" customHeight="false" outlineLevel="0" collapsed="false">
      <c r="A1385" s="14" t="s">
        <v>105</v>
      </c>
      <c r="B1385" s="15" t="n">
        <v>45989</v>
      </c>
      <c r="C1385" s="14" t="n">
        <v>1614.47</v>
      </c>
      <c r="D1385" s="14" t="n">
        <v>2273307</v>
      </c>
      <c r="E1385" s="16" t="n">
        <f aca="false">COUNTIFS($A$2:$A$1561,A1385,$B$2:$B$1561,"&gt;"&amp;B1385)+1</f>
        <v>177</v>
      </c>
      <c r="F1385" s="16" t="n">
        <f aca="false">IF(A1385=A1384,C1385-C1384,"")</f>
        <v>4.90000000000009</v>
      </c>
      <c r="G1385" s="16" t="n">
        <f aca="false">IF(A1385=A1384,IF(F1385&gt;0,F1385,0),"")</f>
        <v>4.90000000000009</v>
      </c>
      <c r="H1385" s="16" t="n">
        <f aca="false">IF(A1385=A1384,IF(F1385&lt;0,-F1385,0),"")</f>
        <v>0</v>
      </c>
    </row>
    <row r="1386" customFormat="false" ht="15" hidden="false" customHeight="false" outlineLevel="0" collapsed="false">
      <c r="A1386" s="14" t="s">
        <v>105</v>
      </c>
      <c r="B1386" s="15" t="n">
        <v>45992</v>
      </c>
      <c r="C1386" s="14" t="n">
        <v>1613.79</v>
      </c>
      <c r="D1386" s="14" t="n">
        <v>1030424</v>
      </c>
      <c r="E1386" s="16" t="n">
        <f aca="false">COUNTIFS($A$2:$A$1561,A1386,$B$2:$B$1561,"&gt;"&amp;B1386)+1</f>
        <v>176</v>
      </c>
      <c r="F1386" s="16" t="n">
        <f aca="false">IF(A1386=A1385,C1386-C1385,"")</f>
        <v>-0.680000000000064</v>
      </c>
      <c r="G1386" s="16" t="n">
        <f aca="false">IF(A1386=A1385,IF(F1386&gt;0,F1386,0),"")</f>
        <v>0</v>
      </c>
      <c r="H1386" s="16" t="n">
        <f aca="false">IF(A1386=A1385,IF(F1386&lt;0,-F1386,0),"")</f>
        <v>0.680000000000064</v>
      </c>
    </row>
    <row r="1387" customFormat="false" ht="15" hidden="false" customHeight="false" outlineLevel="0" collapsed="false">
      <c r="A1387" s="14" t="s">
        <v>105</v>
      </c>
      <c r="B1387" s="15" t="n">
        <v>45993</v>
      </c>
      <c r="C1387" s="14" t="n">
        <v>1607.39</v>
      </c>
      <c r="D1387" s="14" t="n">
        <v>635589</v>
      </c>
      <c r="E1387" s="16" t="n">
        <f aca="false">COUNTIFS($A$2:$A$1561,A1387,$B$2:$B$1561,"&gt;"&amp;B1387)+1</f>
        <v>175</v>
      </c>
      <c r="F1387" s="16" t="n">
        <f aca="false">IF(A1387=A1386,C1387-C1386,"")</f>
        <v>-6.39999999999986</v>
      </c>
      <c r="G1387" s="16" t="n">
        <f aca="false">IF(A1387=A1386,IF(F1387&gt;0,F1387,0),"")</f>
        <v>0</v>
      </c>
      <c r="H1387" s="16" t="n">
        <f aca="false">IF(A1387=A1386,IF(F1387&lt;0,-F1387,0),"")</f>
        <v>6.39999999999986</v>
      </c>
    </row>
    <row r="1388" customFormat="false" ht="15" hidden="false" customHeight="false" outlineLevel="0" collapsed="false">
      <c r="A1388" s="14" t="s">
        <v>105</v>
      </c>
      <c r="B1388" s="15" t="n">
        <v>45994</v>
      </c>
      <c r="C1388" s="14" t="n">
        <v>1601.22</v>
      </c>
      <c r="D1388" s="14" t="n">
        <v>716069</v>
      </c>
      <c r="E1388" s="16" t="n">
        <f aca="false">COUNTIFS($A$2:$A$1561,A1388,$B$2:$B$1561,"&gt;"&amp;B1388)+1</f>
        <v>174</v>
      </c>
      <c r="F1388" s="16" t="n">
        <f aca="false">IF(A1388=A1387,C1388-C1387,"")</f>
        <v>-6.17000000000007</v>
      </c>
      <c r="G1388" s="16" t="n">
        <f aca="false">IF(A1388=A1387,IF(F1388&gt;0,F1388,0),"")</f>
        <v>0</v>
      </c>
      <c r="H1388" s="16" t="n">
        <f aca="false">IF(A1388=A1387,IF(F1388&lt;0,-F1388,0),"")</f>
        <v>6.17000000000007</v>
      </c>
    </row>
    <row r="1389" customFormat="false" ht="15" hidden="false" customHeight="false" outlineLevel="0" collapsed="false">
      <c r="A1389" s="14" t="s">
        <v>105</v>
      </c>
      <c r="B1389" s="15" t="n">
        <v>45995</v>
      </c>
      <c r="C1389" s="14" t="n">
        <v>1587.71</v>
      </c>
      <c r="D1389" s="14" t="n">
        <v>1271874</v>
      </c>
      <c r="E1389" s="16" t="n">
        <f aca="false">COUNTIFS($A$2:$A$1561,A1389,$B$2:$B$1561,"&gt;"&amp;B1389)+1</f>
        <v>173</v>
      </c>
      <c r="F1389" s="16" t="n">
        <f aca="false">IF(A1389=A1388,C1389-C1388,"")</f>
        <v>-13.51</v>
      </c>
      <c r="G1389" s="16" t="n">
        <f aca="false">IF(A1389=A1388,IF(F1389&gt;0,F1389,0),"")</f>
        <v>0</v>
      </c>
      <c r="H1389" s="16" t="n">
        <f aca="false">IF(A1389=A1388,IF(F1389&lt;0,-F1389,0),"")</f>
        <v>13.51</v>
      </c>
    </row>
    <row r="1390" customFormat="false" ht="15" hidden="false" customHeight="false" outlineLevel="0" collapsed="false">
      <c r="A1390" s="14" t="s">
        <v>105</v>
      </c>
      <c r="B1390" s="15" t="n">
        <v>45996</v>
      </c>
      <c r="C1390" s="14" t="n">
        <v>1595.21</v>
      </c>
      <c r="D1390" s="14" t="n">
        <v>2438203</v>
      </c>
      <c r="E1390" s="16" t="n">
        <f aca="false">COUNTIFS($A$2:$A$1561,A1390,$B$2:$B$1561,"&gt;"&amp;B1390)+1</f>
        <v>172</v>
      </c>
      <c r="F1390" s="16" t="n">
        <f aca="false">IF(A1390=A1389,C1390-C1389,"")</f>
        <v>7.5</v>
      </c>
      <c r="G1390" s="16" t="n">
        <f aca="false">IF(A1390=A1389,IF(F1390&gt;0,F1390,0),"")</f>
        <v>7.5</v>
      </c>
      <c r="H1390" s="16" t="n">
        <f aca="false">IF(A1390=A1389,IF(F1390&lt;0,-F1390,0),"")</f>
        <v>0</v>
      </c>
    </row>
    <row r="1391" customFormat="false" ht="15" hidden="false" customHeight="false" outlineLevel="0" collapsed="false">
      <c r="A1391" s="14" t="s">
        <v>105</v>
      </c>
      <c r="B1391" s="15" t="n">
        <v>45999</v>
      </c>
      <c r="C1391" s="14" t="n">
        <v>1607.12</v>
      </c>
      <c r="D1391" s="14" t="n">
        <v>1486163</v>
      </c>
      <c r="E1391" s="16" t="n">
        <f aca="false">COUNTIFS($A$2:$A$1561,A1391,$B$2:$B$1561,"&gt;"&amp;B1391)+1</f>
        <v>171</v>
      </c>
      <c r="F1391" s="16" t="n">
        <f aca="false">IF(A1391=A1390,C1391-C1390,"")</f>
        <v>11.9099999999999</v>
      </c>
      <c r="G1391" s="16" t="n">
        <f aca="false">IF(A1391=A1390,IF(F1391&gt;0,F1391,0),"")</f>
        <v>11.9099999999999</v>
      </c>
      <c r="H1391" s="16" t="n">
        <f aca="false">IF(A1391=A1390,IF(F1391&lt;0,-F1391,0),"")</f>
        <v>0</v>
      </c>
    </row>
    <row r="1392" customFormat="false" ht="15" hidden="false" customHeight="false" outlineLevel="0" collapsed="false">
      <c r="A1392" s="14" t="s">
        <v>105</v>
      </c>
      <c r="B1392" s="15" t="n">
        <v>46000</v>
      </c>
      <c r="C1392" s="14" t="n">
        <v>1604.48</v>
      </c>
      <c r="D1392" s="14" t="n">
        <v>1592047</v>
      </c>
      <c r="E1392" s="16" t="n">
        <f aca="false">COUNTIFS($A$2:$A$1561,A1392,$B$2:$B$1561,"&gt;"&amp;B1392)+1</f>
        <v>170</v>
      </c>
      <c r="F1392" s="16" t="n">
        <f aca="false">IF(A1392=A1391,C1392-C1391,"")</f>
        <v>-2.63999999999987</v>
      </c>
      <c r="G1392" s="16" t="n">
        <f aca="false">IF(A1392=A1391,IF(F1392&gt;0,F1392,0),"")</f>
        <v>0</v>
      </c>
      <c r="H1392" s="16" t="n">
        <f aca="false">IF(A1392=A1391,IF(F1392&lt;0,-F1392,0),"")</f>
        <v>2.63999999999987</v>
      </c>
    </row>
    <row r="1393" customFormat="false" ht="15" hidden="false" customHeight="false" outlineLevel="0" collapsed="false">
      <c r="A1393" s="14" t="s">
        <v>105</v>
      </c>
      <c r="B1393" s="15" t="n">
        <v>46001</v>
      </c>
      <c r="C1393" s="14" t="n">
        <v>1593.83</v>
      </c>
      <c r="D1393" s="14" t="n">
        <v>1458978</v>
      </c>
      <c r="E1393" s="16" t="n">
        <f aca="false">COUNTIFS($A$2:$A$1561,A1393,$B$2:$B$1561,"&gt;"&amp;B1393)+1</f>
        <v>169</v>
      </c>
      <c r="F1393" s="16" t="n">
        <f aca="false">IF(A1393=A1392,C1393-C1392,"")</f>
        <v>-10.6500000000001</v>
      </c>
      <c r="G1393" s="16" t="n">
        <f aca="false">IF(A1393=A1392,IF(F1393&gt;0,F1393,0),"")</f>
        <v>0</v>
      </c>
      <c r="H1393" s="16" t="n">
        <f aca="false">IF(A1393=A1392,IF(F1393&lt;0,-F1393,0),"")</f>
        <v>10.6500000000001</v>
      </c>
    </row>
    <row r="1394" customFormat="false" ht="15" hidden="false" customHeight="false" outlineLevel="0" collapsed="false">
      <c r="A1394" s="14" t="s">
        <v>105</v>
      </c>
      <c r="B1394" s="15" t="n">
        <v>46002</v>
      </c>
      <c r="C1394" s="14" t="n">
        <v>1605.14</v>
      </c>
      <c r="D1394" s="14" t="n">
        <v>1801939</v>
      </c>
      <c r="E1394" s="16" t="n">
        <f aca="false">COUNTIFS($A$2:$A$1561,A1394,$B$2:$B$1561,"&gt;"&amp;B1394)+1</f>
        <v>168</v>
      </c>
      <c r="F1394" s="16" t="n">
        <f aca="false">IF(A1394=A1393,C1394-C1393,"")</f>
        <v>11.3100000000002</v>
      </c>
      <c r="G1394" s="16" t="n">
        <f aca="false">IF(A1394=A1393,IF(F1394&gt;0,F1394,0),"")</f>
        <v>11.3100000000002</v>
      </c>
      <c r="H1394" s="16" t="n">
        <f aca="false">IF(A1394=A1393,IF(F1394&lt;0,-F1394,0),"")</f>
        <v>0</v>
      </c>
    </row>
    <row r="1395" customFormat="false" ht="15" hidden="false" customHeight="false" outlineLevel="0" collapsed="false">
      <c r="A1395" s="14" t="s">
        <v>105</v>
      </c>
      <c r="B1395" s="15" t="n">
        <v>46003</v>
      </c>
      <c r="C1395" s="14" t="n">
        <v>1611.41</v>
      </c>
      <c r="D1395" s="14" t="n">
        <v>825313</v>
      </c>
      <c r="E1395" s="16" t="n">
        <f aca="false">COUNTIFS($A$2:$A$1561,A1395,$B$2:$B$1561,"&gt;"&amp;B1395)+1</f>
        <v>167</v>
      </c>
      <c r="F1395" s="16" t="n">
        <f aca="false">IF(A1395=A1394,C1395-C1394,"")</f>
        <v>6.26999999999998</v>
      </c>
      <c r="G1395" s="16" t="n">
        <f aca="false">IF(A1395=A1394,IF(F1395&gt;0,F1395,0),"")</f>
        <v>6.26999999999998</v>
      </c>
      <c r="H1395" s="16" t="n">
        <f aca="false">IF(A1395=A1394,IF(F1395&lt;0,-F1395,0),"")</f>
        <v>0</v>
      </c>
    </row>
    <row r="1396" customFormat="false" ht="15" hidden="false" customHeight="false" outlineLevel="0" collapsed="false">
      <c r="A1396" s="14" t="s">
        <v>105</v>
      </c>
      <c r="B1396" s="15" t="n">
        <v>46006</v>
      </c>
      <c r="C1396" s="14" t="n">
        <v>1599.92</v>
      </c>
      <c r="D1396" s="14" t="n">
        <v>2191524</v>
      </c>
      <c r="E1396" s="16" t="n">
        <f aca="false">COUNTIFS($A$2:$A$1561,A1396,$B$2:$B$1561,"&gt;"&amp;B1396)+1</f>
        <v>166</v>
      </c>
      <c r="F1396" s="16" t="n">
        <f aca="false">IF(A1396=A1395,C1396-C1395,"")</f>
        <v>-11.49</v>
      </c>
      <c r="G1396" s="16" t="n">
        <f aca="false">IF(A1396=A1395,IF(F1396&gt;0,F1396,0),"")</f>
        <v>0</v>
      </c>
      <c r="H1396" s="16" t="n">
        <f aca="false">IF(A1396=A1395,IF(F1396&lt;0,-F1396,0),"")</f>
        <v>11.49</v>
      </c>
    </row>
    <row r="1397" customFormat="false" ht="15" hidden="false" customHeight="false" outlineLevel="0" collapsed="false">
      <c r="A1397" s="14" t="s">
        <v>105</v>
      </c>
      <c r="B1397" s="15" t="n">
        <v>46007</v>
      </c>
      <c r="C1397" s="14" t="n">
        <v>1594.87</v>
      </c>
      <c r="D1397" s="14" t="n">
        <v>1137433</v>
      </c>
      <c r="E1397" s="16" t="n">
        <f aca="false">COUNTIFS($A$2:$A$1561,A1397,$B$2:$B$1561,"&gt;"&amp;B1397)+1</f>
        <v>165</v>
      </c>
      <c r="F1397" s="16" t="n">
        <f aca="false">IF(A1397=A1396,C1397-C1396,"")</f>
        <v>-5.05000000000018</v>
      </c>
      <c r="G1397" s="16" t="n">
        <f aca="false">IF(A1397=A1396,IF(F1397&gt;0,F1397,0),"")</f>
        <v>0</v>
      </c>
      <c r="H1397" s="16" t="n">
        <f aca="false">IF(A1397=A1396,IF(F1397&lt;0,-F1397,0),"")</f>
        <v>5.05000000000018</v>
      </c>
    </row>
    <row r="1398" customFormat="false" ht="15" hidden="false" customHeight="false" outlineLevel="0" collapsed="false">
      <c r="A1398" s="14" t="s">
        <v>105</v>
      </c>
      <c r="B1398" s="15" t="n">
        <v>46008</v>
      </c>
      <c r="C1398" s="14" t="n">
        <v>1608.7</v>
      </c>
      <c r="D1398" s="14" t="n">
        <v>648400</v>
      </c>
      <c r="E1398" s="16" t="n">
        <f aca="false">COUNTIFS($A$2:$A$1561,A1398,$B$2:$B$1561,"&gt;"&amp;B1398)+1</f>
        <v>164</v>
      </c>
      <c r="F1398" s="16" t="n">
        <f aca="false">IF(A1398=A1397,C1398-C1397,"")</f>
        <v>13.8300000000002</v>
      </c>
      <c r="G1398" s="16" t="n">
        <f aca="false">IF(A1398=A1397,IF(F1398&gt;0,F1398,0),"")</f>
        <v>13.8300000000002</v>
      </c>
      <c r="H1398" s="16" t="n">
        <f aca="false">IF(A1398=A1397,IF(F1398&lt;0,-F1398,0),"")</f>
        <v>0</v>
      </c>
    </row>
    <row r="1399" customFormat="false" ht="15" hidden="false" customHeight="false" outlineLevel="0" collapsed="false">
      <c r="A1399" s="14" t="s">
        <v>105</v>
      </c>
      <c r="B1399" s="15" t="n">
        <v>46009</v>
      </c>
      <c r="C1399" s="14" t="n">
        <v>1600.02</v>
      </c>
      <c r="D1399" s="14" t="n">
        <v>1250915</v>
      </c>
      <c r="E1399" s="16" t="n">
        <f aca="false">COUNTIFS($A$2:$A$1561,A1399,$B$2:$B$1561,"&gt;"&amp;B1399)+1</f>
        <v>163</v>
      </c>
      <c r="F1399" s="16" t="n">
        <f aca="false">IF(A1399=A1398,C1399-C1398,"")</f>
        <v>-8.68000000000006</v>
      </c>
      <c r="G1399" s="16" t="n">
        <f aca="false">IF(A1399=A1398,IF(F1399&gt;0,F1399,0),"")</f>
        <v>0</v>
      </c>
      <c r="H1399" s="16" t="n">
        <f aca="false">IF(A1399=A1398,IF(F1399&lt;0,-F1399,0),"")</f>
        <v>8.68000000000006</v>
      </c>
    </row>
    <row r="1400" customFormat="false" ht="15" hidden="false" customHeight="false" outlineLevel="0" collapsed="false">
      <c r="A1400" s="14" t="s">
        <v>105</v>
      </c>
      <c r="B1400" s="15" t="n">
        <v>46010</v>
      </c>
      <c r="C1400" s="14" t="n">
        <v>1607.56</v>
      </c>
      <c r="D1400" s="14" t="n">
        <v>1594092</v>
      </c>
      <c r="E1400" s="16" t="n">
        <f aca="false">COUNTIFS($A$2:$A$1561,A1400,$B$2:$B$1561,"&gt;"&amp;B1400)+1</f>
        <v>162</v>
      </c>
      <c r="F1400" s="16" t="n">
        <f aca="false">IF(A1400=A1399,C1400-C1399,"")</f>
        <v>7.53999999999996</v>
      </c>
      <c r="G1400" s="16" t="n">
        <f aca="false">IF(A1400=A1399,IF(F1400&gt;0,F1400,0),"")</f>
        <v>7.53999999999996</v>
      </c>
      <c r="H1400" s="16" t="n">
        <f aca="false">IF(A1400=A1399,IF(F1400&lt;0,-F1400,0),"")</f>
        <v>0</v>
      </c>
    </row>
    <row r="1401" customFormat="false" ht="15" hidden="false" customHeight="false" outlineLevel="0" collapsed="false">
      <c r="A1401" s="14" t="s">
        <v>105</v>
      </c>
      <c r="B1401" s="15" t="n">
        <v>46013</v>
      </c>
      <c r="C1401" s="14" t="n">
        <v>1619.95</v>
      </c>
      <c r="D1401" s="14" t="n">
        <v>686209</v>
      </c>
      <c r="E1401" s="16" t="n">
        <f aca="false">COUNTIFS($A$2:$A$1561,A1401,$B$2:$B$1561,"&gt;"&amp;B1401)+1</f>
        <v>161</v>
      </c>
      <c r="F1401" s="16" t="n">
        <f aca="false">IF(A1401=A1400,C1401-C1400,"")</f>
        <v>12.3900000000001</v>
      </c>
      <c r="G1401" s="16" t="n">
        <f aca="false">IF(A1401=A1400,IF(F1401&gt;0,F1401,0),"")</f>
        <v>12.3900000000001</v>
      </c>
      <c r="H1401" s="16" t="n">
        <f aca="false">IF(A1401=A1400,IF(F1401&lt;0,-F1401,0),"")</f>
        <v>0</v>
      </c>
    </row>
    <row r="1402" customFormat="false" ht="15" hidden="false" customHeight="false" outlineLevel="0" collapsed="false">
      <c r="A1402" s="14" t="s">
        <v>105</v>
      </c>
      <c r="B1402" s="15" t="n">
        <v>46014</v>
      </c>
      <c r="C1402" s="14" t="n">
        <v>1623.57</v>
      </c>
      <c r="D1402" s="14" t="n">
        <v>1727289</v>
      </c>
      <c r="E1402" s="16" t="n">
        <f aca="false">COUNTIFS($A$2:$A$1561,A1402,$B$2:$B$1561,"&gt;"&amp;B1402)+1</f>
        <v>160</v>
      </c>
      <c r="F1402" s="16" t="n">
        <f aca="false">IF(A1402=A1401,C1402-C1401,"")</f>
        <v>3.61999999999989</v>
      </c>
      <c r="G1402" s="16" t="n">
        <f aca="false">IF(A1402=A1401,IF(F1402&gt;0,F1402,0),"")</f>
        <v>3.61999999999989</v>
      </c>
      <c r="H1402" s="16" t="n">
        <f aca="false">IF(A1402=A1401,IF(F1402&lt;0,-F1402,0),"")</f>
        <v>0</v>
      </c>
    </row>
    <row r="1403" customFormat="false" ht="15" hidden="false" customHeight="false" outlineLevel="0" collapsed="false">
      <c r="A1403" s="14" t="s">
        <v>105</v>
      </c>
      <c r="B1403" s="15" t="n">
        <v>46015</v>
      </c>
      <c r="C1403" s="14" t="n">
        <v>1623.94</v>
      </c>
      <c r="D1403" s="14" t="n">
        <v>561986</v>
      </c>
      <c r="E1403" s="16" t="n">
        <f aca="false">COUNTIFS($A$2:$A$1561,A1403,$B$2:$B$1561,"&gt;"&amp;B1403)+1</f>
        <v>159</v>
      </c>
      <c r="F1403" s="16" t="n">
        <f aca="false">IF(A1403=A1402,C1403-C1402,"")</f>
        <v>0.370000000000118</v>
      </c>
      <c r="G1403" s="16" t="n">
        <f aca="false">IF(A1403=A1402,IF(F1403&gt;0,F1403,0),"")</f>
        <v>0.370000000000118</v>
      </c>
      <c r="H1403" s="16" t="n">
        <f aca="false">IF(A1403=A1402,IF(F1403&lt;0,-F1403,0),"")</f>
        <v>0</v>
      </c>
    </row>
    <row r="1404" customFormat="false" ht="15" hidden="false" customHeight="false" outlineLevel="0" collapsed="false">
      <c r="A1404" s="14" t="s">
        <v>105</v>
      </c>
      <c r="B1404" s="15" t="n">
        <v>46016</v>
      </c>
      <c r="C1404" s="14" t="n">
        <v>1637.75</v>
      </c>
      <c r="D1404" s="14" t="n">
        <v>829994</v>
      </c>
      <c r="E1404" s="16" t="n">
        <f aca="false">COUNTIFS($A$2:$A$1561,A1404,$B$2:$B$1561,"&gt;"&amp;B1404)+1</f>
        <v>158</v>
      </c>
      <c r="F1404" s="16" t="n">
        <f aca="false">IF(A1404=A1403,C1404-C1403,"")</f>
        <v>13.8099999999999</v>
      </c>
      <c r="G1404" s="16" t="n">
        <f aca="false">IF(A1404=A1403,IF(F1404&gt;0,F1404,0),"")</f>
        <v>13.8099999999999</v>
      </c>
      <c r="H1404" s="16" t="n">
        <f aca="false">IF(A1404=A1403,IF(F1404&lt;0,-F1404,0),"")</f>
        <v>0</v>
      </c>
    </row>
    <row r="1405" customFormat="false" ht="15" hidden="false" customHeight="false" outlineLevel="0" collapsed="false">
      <c r="A1405" s="14" t="s">
        <v>105</v>
      </c>
      <c r="B1405" s="15" t="n">
        <v>46017</v>
      </c>
      <c r="C1405" s="14" t="n">
        <v>1650.12</v>
      </c>
      <c r="D1405" s="14" t="n">
        <v>814207</v>
      </c>
      <c r="E1405" s="16" t="n">
        <f aca="false">COUNTIFS($A$2:$A$1561,A1405,$B$2:$B$1561,"&gt;"&amp;B1405)+1</f>
        <v>157</v>
      </c>
      <c r="F1405" s="16" t="n">
        <f aca="false">IF(A1405=A1404,C1405-C1404,"")</f>
        <v>12.3699999999999</v>
      </c>
      <c r="G1405" s="16" t="n">
        <f aca="false">IF(A1405=A1404,IF(F1405&gt;0,F1405,0),"")</f>
        <v>12.3699999999999</v>
      </c>
      <c r="H1405" s="16" t="n">
        <f aca="false">IF(A1405=A1404,IF(F1405&lt;0,-F1405,0),"")</f>
        <v>0</v>
      </c>
    </row>
    <row r="1406" customFormat="false" ht="15" hidden="false" customHeight="false" outlineLevel="0" collapsed="false">
      <c r="A1406" s="14" t="s">
        <v>105</v>
      </c>
      <c r="B1406" s="15" t="n">
        <v>46020</v>
      </c>
      <c r="C1406" s="14" t="n">
        <v>1639.17</v>
      </c>
      <c r="D1406" s="14" t="n">
        <v>911100</v>
      </c>
      <c r="E1406" s="16" t="n">
        <f aca="false">COUNTIFS($A$2:$A$1561,A1406,$B$2:$B$1561,"&gt;"&amp;B1406)+1</f>
        <v>156</v>
      </c>
      <c r="F1406" s="16" t="n">
        <f aca="false">IF(A1406=A1405,C1406-C1405,"")</f>
        <v>-10.9499999999998</v>
      </c>
      <c r="G1406" s="16" t="n">
        <f aca="false">IF(A1406=A1405,IF(F1406&gt;0,F1406,0),"")</f>
        <v>0</v>
      </c>
      <c r="H1406" s="16" t="n">
        <f aca="false">IF(A1406=A1405,IF(F1406&lt;0,-F1406,0),"")</f>
        <v>10.9499999999998</v>
      </c>
    </row>
    <row r="1407" customFormat="false" ht="15" hidden="false" customHeight="false" outlineLevel="0" collapsed="false">
      <c r="A1407" s="14" t="s">
        <v>105</v>
      </c>
      <c r="B1407" s="15" t="n">
        <v>46021</v>
      </c>
      <c r="C1407" s="14" t="n">
        <v>1630.91</v>
      </c>
      <c r="D1407" s="14" t="n">
        <v>1894393</v>
      </c>
      <c r="E1407" s="16" t="n">
        <f aca="false">COUNTIFS($A$2:$A$1561,A1407,$B$2:$B$1561,"&gt;"&amp;B1407)+1</f>
        <v>155</v>
      </c>
      <c r="F1407" s="16" t="n">
        <f aca="false">IF(A1407=A1406,C1407-C1406,"")</f>
        <v>-8.25999999999999</v>
      </c>
      <c r="G1407" s="16" t="n">
        <f aca="false">IF(A1407=A1406,IF(F1407&gt;0,F1407,0),"")</f>
        <v>0</v>
      </c>
      <c r="H1407" s="16" t="n">
        <f aca="false">IF(A1407=A1406,IF(F1407&lt;0,-F1407,0),"")</f>
        <v>8.25999999999999</v>
      </c>
    </row>
    <row r="1408" customFormat="false" ht="15" hidden="false" customHeight="false" outlineLevel="0" collapsed="false">
      <c r="A1408" s="14" t="s">
        <v>105</v>
      </c>
      <c r="B1408" s="15" t="n">
        <v>46022</v>
      </c>
      <c r="C1408" s="14" t="n">
        <v>1638.31</v>
      </c>
      <c r="D1408" s="14" t="n">
        <v>1959948</v>
      </c>
      <c r="E1408" s="16" t="n">
        <f aca="false">COUNTIFS($A$2:$A$1561,A1408,$B$2:$B$1561,"&gt;"&amp;B1408)+1</f>
        <v>154</v>
      </c>
      <c r="F1408" s="16" t="n">
        <f aca="false">IF(A1408=A1407,C1408-C1407,"")</f>
        <v>7.39999999999986</v>
      </c>
      <c r="G1408" s="16" t="n">
        <f aca="false">IF(A1408=A1407,IF(F1408&gt;0,F1408,0),"")</f>
        <v>7.39999999999986</v>
      </c>
      <c r="H1408" s="16" t="n">
        <f aca="false">IF(A1408=A1407,IF(F1408&lt;0,-F1408,0),"")</f>
        <v>0</v>
      </c>
    </row>
    <row r="1409" customFormat="false" ht="15" hidden="false" customHeight="false" outlineLevel="0" collapsed="false">
      <c r="A1409" s="14" t="s">
        <v>105</v>
      </c>
      <c r="B1409" s="15" t="n">
        <v>46023</v>
      </c>
      <c r="C1409" s="14" t="n">
        <v>1632.27</v>
      </c>
      <c r="D1409" s="14" t="n">
        <v>1063046</v>
      </c>
      <c r="E1409" s="16" t="n">
        <f aca="false">COUNTIFS($A$2:$A$1561,A1409,$B$2:$B$1561,"&gt;"&amp;B1409)+1</f>
        <v>153</v>
      </c>
      <c r="F1409" s="16" t="n">
        <f aca="false">IF(A1409=A1408,C1409-C1408,"")</f>
        <v>-6.03999999999996</v>
      </c>
      <c r="G1409" s="16" t="n">
        <f aca="false">IF(A1409=A1408,IF(F1409&gt;0,F1409,0),"")</f>
        <v>0</v>
      </c>
      <c r="H1409" s="16" t="n">
        <f aca="false">IF(A1409=A1408,IF(F1409&lt;0,-F1409,0),"")</f>
        <v>6.03999999999996</v>
      </c>
    </row>
    <row r="1410" customFormat="false" ht="15" hidden="false" customHeight="false" outlineLevel="0" collapsed="false">
      <c r="A1410" s="14" t="s">
        <v>105</v>
      </c>
      <c r="B1410" s="15" t="n">
        <v>46024</v>
      </c>
      <c r="C1410" s="14" t="n">
        <v>1625.44</v>
      </c>
      <c r="D1410" s="14" t="n">
        <v>599270</v>
      </c>
      <c r="E1410" s="16" t="n">
        <f aca="false">COUNTIFS($A$2:$A$1561,A1410,$B$2:$B$1561,"&gt;"&amp;B1410)+1</f>
        <v>152</v>
      </c>
      <c r="F1410" s="16" t="n">
        <f aca="false">IF(A1410=A1409,C1410-C1409,"")</f>
        <v>-6.82999999999993</v>
      </c>
      <c r="G1410" s="16" t="n">
        <f aca="false">IF(A1410=A1409,IF(F1410&gt;0,F1410,0),"")</f>
        <v>0</v>
      </c>
      <c r="H1410" s="16" t="n">
        <f aca="false">IF(A1410=A1409,IF(F1410&lt;0,-F1410,0),"")</f>
        <v>6.82999999999993</v>
      </c>
    </row>
    <row r="1411" customFormat="false" ht="15" hidden="false" customHeight="false" outlineLevel="0" collapsed="false">
      <c r="A1411" s="14" t="s">
        <v>105</v>
      </c>
      <c r="B1411" s="15" t="n">
        <v>46027</v>
      </c>
      <c r="C1411" s="14" t="n">
        <v>1628.42</v>
      </c>
      <c r="D1411" s="14" t="n">
        <v>2179709</v>
      </c>
      <c r="E1411" s="16" t="n">
        <f aca="false">COUNTIFS($A$2:$A$1561,A1411,$B$2:$B$1561,"&gt;"&amp;B1411)+1</f>
        <v>151</v>
      </c>
      <c r="F1411" s="16" t="n">
        <f aca="false">IF(A1411=A1410,C1411-C1410,"")</f>
        <v>2.98000000000002</v>
      </c>
      <c r="G1411" s="16" t="n">
        <f aca="false">IF(A1411=A1410,IF(F1411&gt;0,F1411,0),"")</f>
        <v>2.98000000000002</v>
      </c>
      <c r="H1411" s="16" t="n">
        <f aca="false">IF(A1411=A1410,IF(F1411&lt;0,-F1411,0),"")</f>
        <v>0</v>
      </c>
    </row>
    <row r="1412" customFormat="false" ht="15" hidden="false" customHeight="false" outlineLevel="0" collapsed="false">
      <c r="A1412" s="14" t="s">
        <v>105</v>
      </c>
      <c r="B1412" s="15" t="n">
        <v>46028</v>
      </c>
      <c r="C1412" s="14" t="n">
        <v>1619.14</v>
      </c>
      <c r="D1412" s="14" t="n">
        <v>1221657</v>
      </c>
      <c r="E1412" s="16" t="n">
        <f aca="false">COUNTIFS($A$2:$A$1561,A1412,$B$2:$B$1561,"&gt;"&amp;B1412)+1</f>
        <v>150</v>
      </c>
      <c r="F1412" s="16" t="n">
        <f aca="false">IF(A1412=A1411,C1412-C1411,"")</f>
        <v>-9.27999999999997</v>
      </c>
      <c r="G1412" s="16" t="n">
        <f aca="false">IF(A1412=A1411,IF(F1412&gt;0,F1412,0),"")</f>
        <v>0</v>
      </c>
      <c r="H1412" s="16" t="n">
        <f aca="false">IF(A1412=A1411,IF(F1412&lt;0,-F1412,0),"")</f>
        <v>9.27999999999997</v>
      </c>
    </row>
    <row r="1413" customFormat="false" ht="15" hidden="false" customHeight="false" outlineLevel="0" collapsed="false">
      <c r="A1413" s="14" t="s">
        <v>105</v>
      </c>
      <c r="B1413" s="15" t="n">
        <v>46029</v>
      </c>
      <c r="C1413" s="14" t="n">
        <v>1617.91</v>
      </c>
      <c r="D1413" s="14" t="n">
        <v>1089098</v>
      </c>
      <c r="E1413" s="16" t="n">
        <f aca="false">COUNTIFS($A$2:$A$1561,A1413,$B$2:$B$1561,"&gt;"&amp;B1413)+1</f>
        <v>149</v>
      </c>
      <c r="F1413" s="16" t="n">
        <f aca="false">IF(A1413=A1412,C1413-C1412,"")</f>
        <v>-1.23000000000002</v>
      </c>
      <c r="G1413" s="16" t="n">
        <f aca="false">IF(A1413=A1412,IF(F1413&gt;0,F1413,0),"")</f>
        <v>0</v>
      </c>
      <c r="H1413" s="16" t="n">
        <f aca="false">IF(A1413=A1412,IF(F1413&lt;0,-F1413,0),"")</f>
        <v>1.23000000000002</v>
      </c>
    </row>
    <row r="1414" customFormat="false" ht="15" hidden="false" customHeight="false" outlineLevel="0" collapsed="false">
      <c r="A1414" s="14" t="s">
        <v>105</v>
      </c>
      <c r="B1414" s="15" t="n">
        <v>46030</v>
      </c>
      <c r="C1414" s="14" t="n">
        <v>1623.5</v>
      </c>
      <c r="D1414" s="14" t="n">
        <v>1700431</v>
      </c>
      <c r="E1414" s="16" t="n">
        <f aca="false">COUNTIFS($A$2:$A$1561,A1414,$B$2:$B$1561,"&gt;"&amp;B1414)+1</f>
        <v>148</v>
      </c>
      <c r="F1414" s="16" t="n">
        <f aca="false">IF(A1414=A1413,C1414-C1413,"")</f>
        <v>5.58999999999992</v>
      </c>
      <c r="G1414" s="16" t="n">
        <f aca="false">IF(A1414=A1413,IF(F1414&gt;0,F1414,0),"")</f>
        <v>5.58999999999992</v>
      </c>
      <c r="H1414" s="16" t="n">
        <f aca="false">IF(A1414=A1413,IF(F1414&lt;0,-F1414,0),"")</f>
        <v>0</v>
      </c>
    </row>
    <row r="1415" customFormat="false" ht="15" hidden="false" customHeight="false" outlineLevel="0" collapsed="false">
      <c r="A1415" s="14" t="s">
        <v>105</v>
      </c>
      <c r="B1415" s="15" t="n">
        <v>46031</v>
      </c>
      <c r="C1415" s="14" t="n">
        <v>1615.6</v>
      </c>
      <c r="D1415" s="14" t="n">
        <v>551471</v>
      </c>
      <c r="E1415" s="16" t="n">
        <f aca="false">COUNTIFS($A$2:$A$1561,A1415,$B$2:$B$1561,"&gt;"&amp;B1415)+1</f>
        <v>147</v>
      </c>
      <c r="F1415" s="16" t="n">
        <f aca="false">IF(A1415=A1414,C1415-C1414,"")</f>
        <v>-7.90000000000009</v>
      </c>
      <c r="G1415" s="16" t="n">
        <f aca="false">IF(A1415=A1414,IF(F1415&gt;0,F1415,0),"")</f>
        <v>0</v>
      </c>
      <c r="H1415" s="16" t="n">
        <f aca="false">IF(A1415=A1414,IF(F1415&lt;0,-F1415,0),"")</f>
        <v>7.90000000000009</v>
      </c>
    </row>
    <row r="1416" customFormat="false" ht="15" hidden="false" customHeight="false" outlineLevel="0" collapsed="false">
      <c r="A1416" s="14" t="s">
        <v>105</v>
      </c>
      <c r="B1416" s="15" t="n">
        <v>46034</v>
      </c>
      <c r="C1416" s="14" t="n">
        <v>1606.9</v>
      </c>
      <c r="D1416" s="14" t="n">
        <v>1083622</v>
      </c>
      <c r="E1416" s="16" t="n">
        <f aca="false">COUNTIFS($A$2:$A$1561,A1416,$B$2:$B$1561,"&gt;"&amp;B1416)+1</f>
        <v>146</v>
      </c>
      <c r="F1416" s="16" t="n">
        <f aca="false">IF(A1416=A1415,C1416-C1415,"")</f>
        <v>-8.69999999999982</v>
      </c>
      <c r="G1416" s="16" t="n">
        <f aca="false">IF(A1416=A1415,IF(F1416&gt;0,F1416,0),"")</f>
        <v>0</v>
      </c>
      <c r="H1416" s="16" t="n">
        <f aca="false">IF(A1416=A1415,IF(F1416&lt;0,-F1416,0),"")</f>
        <v>8.69999999999982</v>
      </c>
    </row>
    <row r="1417" customFormat="false" ht="15" hidden="false" customHeight="false" outlineLevel="0" collapsed="false">
      <c r="A1417" s="14" t="s">
        <v>105</v>
      </c>
      <c r="B1417" s="15" t="n">
        <v>46035</v>
      </c>
      <c r="C1417" s="14" t="n">
        <v>1595.68</v>
      </c>
      <c r="D1417" s="14" t="n">
        <v>2187538</v>
      </c>
      <c r="E1417" s="16" t="n">
        <f aca="false">COUNTIFS($A$2:$A$1561,A1417,$B$2:$B$1561,"&gt;"&amp;B1417)+1</f>
        <v>145</v>
      </c>
      <c r="F1417" s="16" t="n">
        <f aca="false">IF(A1417=A1416,C1417-C1416,"")</f>
        <v>-11.22</v>
      </c>
      <c r="G1417" s="16" t="n">
        <f aca="false">IF(A1417=A1416,IF(F1417&gt;0,F1417,0),"")</f>
        <v>0</v>
      </c>
      <c r="H1417" s="16" t="n">
        <f aca="false">IF(A1417=A1416,IF(F1417&lt;0,-F1417,0),"")</f>
        <v>11.22</v>
      </c>
    </row>
    <row r="1418" customFormat="false" ht="15" hidden="false" customHeight="false" outlineLevel="0" collapsed="false">
      <c r="A1418" s="14" t="s">
        <v>105</v>
      </c>
      <c r="B1418" s="15" t="n">
        <v>46036</v>
      </c>
      <c r="C1418" s="14" t="n">
        <v>1591.03</v>
      </c>
      <c r="D1418" s="14" t="n">
        <v>1294934</v>
      </c>
      <c r="E1418" s="16" t="n">
        <f aca="false">COUNTIFS($A$2:$A$1561,A1418,$B$2:$B$1561,"&gt;"&amp;B1418)+1</f>
        <v>144</v>
      </c>
      <c r="F1418" s="16" t="n">
        <f aca="false">IF(A1418=A1417,C1418-C1417,"")</f>
        <v>-4.65000000000009</v>
      </c>
      <c r="G1418" s="16" t="n">
        <f aca="false">IF(A1418=A1417,IF(F1418&gt;0,F1418,0),"")</f>
        <v>0</v>
      </c>
      <c r="H1418" s="16" t="n">
        <f aca="false">IF(A1418=A1417,IF(F1418&lt;0,-F1418,0),"")</f>
        <v>4.65000000000009</v>
      </c>
    </row>
    <row r="1419" customFormat="false" ht="15" hidden="false" customHeight="false" outlineLevel="0" collapsed="false">
      <c r="A1419" s="14" t="s">
        <v>105</v>
      </c>
      <c r="B1419" s="15" t="n">
        <v>46037</v>
      </c>
      <c r="C1419" s="14" t="n">
        <v>1591.58</v>
      </c>
      <c r="D1419" s="14" t="n">
        <v>1822080</v>
      </c>
      <c r="E1419" s="16" t="n">
        <f aca="false">COUNTIFS($A$2:$A$1561,A1419,$B$2:$B$1561,"&gt;"&amp;B1419)+1</f>
        <v>143</v>
      </c>
      <c r="F1419" s="16" t="n">
        <f aca="false">IF(A1419=A1418,C1419-C1418,"")</f>
        <v>0.549999999999955</v>
      </c>
      <c r="G1419" s="16" t="n">
        <f aca="false">IF(A1419=A1418,IF(F1419&gt;0,F1419,0),"")</f>
        <v>0.549999999999955</v>
      </c>
      <c r="H1419" s="16" t="n">
        <f aca="false">IF(A1419=A1418,IF(F1419&lt;0,-F1419,0),"")</f>
        <v>0</v>
      </c>
    </row>
    <row r="1420" customFormat="false" ht="15" hidden="false" customHeight="false" outlineLevel="0" collapsed="false">
      <c r="A1420" s="14" t="s">
        <v>105</v>
      </c>
      <c r="B1420" s="15" t="n">
        <v>46038</v>
      </c>
      <c r="C1420" s="14" t="n">
        <v>1580.73</v>
      </c>
      <c r="D1420" s="14" t="n">
        <v>1588252</v>
      </c>
      <c r="E1420" s="16" t="n">
        <f aca="false">COUNTIFS($A$2:$A$1561,A1420,$B$2:$B$1561,"&gt;"&amp;B1420)+1</f>
        <v>142</v>
      </c>
      <c r="F1420" s="16" t="n">
        <f aca="false">IF(A1420=A1419,C1420-C1419,"")</f>
        <v>-10.8499999999999</v>
      </c>
      <c r="G1420" s="16" t="n">
        <f aca="false">IF(A1420=A1419,IF(F1420&gt;0,F1420,0),"")</f>
        <v>0</v>
      </c>
      <c r="H1420" s="16" t="n">
        <f aca="false">IF(A1420=A1419,IF(F1420&lt;0,-F1420,0),"")</f>
        <v>10.8499999999999</v>
      </c>
    </row>
    <row r="1421" customFormat="false" ht="15" hidden="false" customHeight="false" outlineLevel="0" collapsed="false">
      <c r="A1421" s="14" t="s">
        <v>105</v>
      </c>
      <c r="B1421" s="15" t="n">
        <v>46041</v>
      </c>
      <c r="C1421" s="14" t="n">
        <v>1572.61</v>
      </c>
      <c r="D1421" s="14" t="n">
        <v>2270985</v>
      </c>
      <c r="E1421" s="16" t="n">
        <f aca="false">COUNTIFS($A$2:$A$1561,A1421,$B$2:$B$1561,"&gt;"&amp;B1421)+1</f>
        <v>141</v>
      </c>
      <c r="F1421" s="16" t="n">
        <f aca="false">IF(A1421=A1420,C1421-C1420,"")</f>
        <v>-8.12000000000012</v>
      </c>
      <c r="G1421" s="16" t="n">
        <f aca="false">IF(A1421=A1420,IF(F1421&gt;0,F1421,0),"")</f>
        <v>0</v>
      </c>
      <c r="H1421" s="16" t="n">
        <f aca="false">IF(A1421=A1420,IF(F1421&lt;0,-F1421,0),"")</f>
        <v>8.12000000000012</v>
      </c>
    </row>
    <row r="1422" customFormat="false" ht="15" hidden="false" customHeight="false" outlineLevel="0" collapsed="false">
      <c r="A1422" s="14" t="s">
        <v>105</v>
      </c>
      <c r="B1422" s="15" t="n">
        <v>46042</v>
      </c>
      <c r="C1422" s="14" t="n">
        <v>1569.77</v>
      </c>
      <c r="D1422" s="14" t="n">
        <v>1391550</v>
      </c>
      <c r="E1422" s="16" t="n">
        <f aca="false">COUNTIFS($A$2:$A$1561,A1422,$B$2:$B$1561,"&gt;"&amp;B1422)+1</f>
        <v>140</v>
      </c>
      <c r="F1422" s="16" t="n">
        <f aca="false">IF(A1422=A1421,C1422-C1421,"")</f>
        <v>-2.83999999999992</v>
      </c>
      <c r="G1422" s="16" t="n">
        <f aca="false">IF(A1422=A1421,IF(F1422&gt;0,F1422,0),"")</f>
        <v>0</v>
      </c>
      <c r="H1422" s="16" t="n">
        <f aca="false">IF(A1422=A1421,IF(F1422&lt;0,-F1422,0),"")</f>
        <v>2.83999999999992</v>
      </c>
    </row>
    <row r="1423" customFormat="false" ht="15" hidden="false" customHeight="false" outlineLevel="0" collapsed="false">
      <c r="A1423" s="14" t="s">
        <v>105</v>
      </c>
      <c r="B1423" s="15" t="n">
        <v>46043</v>
      </c>
      <c r="C1423" s="14" t="n">
        <v>1563.92</v>
      </c>
      <c r="D1423" s="14" t="n">
        <v>1430115</v>
      </c>
      <c r="E1423" s="16" t="n">
        <f aca="false">COUNTIFS($A$2:$A$1561,A1423,$B$2:$B$1561,"&gt;"&amp;B1423)+1</f>
        <v>139</v>
      </c>
      <c r="F1423" s="16" t="n">
        <f aca="false">IF(A1423=A1422,C1423-C1422,"")</f>
        <v>-5.84999999999991</v>
      </c>
      <c r="G1423" s="16" t="n">
        <f aca="false">IF(A1423=A1422,IF(F1423&gt;0,F1423,0),"")</f>
        <v>0</v>
      </c>
      <c r="H1423" s="16" t="n">
        <f aca="false">IF(A1423=A1422,IF(F1423&lt;0,-F1423,0),"")</f>
        <v>5.84999999999991</v>
      </c>
    </row>
    <row r="1424" customFormat="false" ht="15" hidden="false" customHeight="false" outlineLevel="0" collapsed="false">
      <c r="A1424" s="14" t="s">
        <v>105</v>
      </c>
      <c r="B1424" s="15" t="n">
        <v>46044</v>
      </c>
      <c r="C1424" s="14" t="n">
        <v>1557.06</v>
      </c>
      <c r="D1424" s="14" t="n">
        <v>1037123</v>
      </c>
      <c r="E1424" s="16" t="n">
        <f aca="false">COUNTIFS($A$2:$A$1561,A1424,$B$2:$B$1561,"&gt;"&amp;B1424)+1</f>
        <v>138</v>
      </c>
      <c r="F1424" s="16" t="n">
        <f aca="false">IF(A1424=A1423,C1424-C1423,"")</f>
        <v>-6.86000000000013</v>
      </c>
      <c r="G1424" s="16" t="n">
        <f aca="false">IF(A1424=A1423,IF(F1424&gt;0,F1424,0),"")</f>
        <v>0</v>
      </c>
      <c r="H1424" s="16" t="n">
        <f aca="false">IF(A1424=A1423,IF(F1424&lt;0,-F1424,0),"")</f>
        <v>6.86000000000013</v>
      </c>
    </row>
    <row r="1425" customFormat="false" ht="15" hidden="false" customHeight="false" outlineLevel="0" collapsed="false">
      <c r="A1425" s="14" t="s">
        <v>105</v>
      </c>
      <c r="B1425" s="15" t="n">
        <v>46045</v>
      </c>
      <c r="C1425" s="14" t="n">
        <v>1545.62</v>
      </c>
      <c r="D1425" s="14" t="n">
        <v>2004470</v>
      </c>
      <c r="E1425" s="16" t="n">
        <f aca="false">COUNTIFS($A$2:$A$1561,A1425,$B$2:$B$1561,"&gt;"&amp;B1425)+1</f>
        <v>137</v>
      </c>
      <c r="F1425" s="16" t="n">
        <f aca="false">IF(A1425=A1424,C1425-C1424,"")</f>
        <v>-11.4400000000001</v>
      </c>
      <c r="G1425" s="16" t="n">
        <f aca="false">IF(A1425=A1424,IF(F1425&gt;0,F1425,0),"")</f>
        <v>0</v>
      </c>
      <c r="H1425" s="16" t="n">
        <f aca="false">IF(A1425=A1424,IF(F1425&lt;0,-F1425,0),"")</f>
        <v>11.4400000000001</v>
      </c>
    </row>
    <row r="1426" customFormat="false" ht="15" hidden="false" customHeight="false" outlineLevel="0" collapsed="false">
      <c r="A1426" s="14" t="s">
        <v>105</v>
      </c>
      <c r="B1426" s="15" t="n">
        <v>46048</v>
      </c>
      <c r="C1426" s="14" t="n">
        <v>1551.11</v>
      </c>
      <c r="D1426" s="14" t="n">
        <v>671414</v>
      </c>
      <c r="E1426" s="16" t="n">
        <f aca="false">COUNTIFS($A$2:$A$1561,A1426,$B$2:$B$1561,"&gt;"&amp;B1426)+1</f>
        <v>136</v>
      </c>
      <c r="F1426" s="16" t="n">
        <f aca="false">IF(A1426=A1425,C1426-C1425,"")</f>
        <v>5.49000000000001</v>
      </c>
      <c r="G1426" s="16" t="n">
        <f aca="false">IF(A1426=A1425,IF(F1426&gt;0,F1426,0),"")</f>
        <v>5.49000000000001</v>
      </c>
      <c r="H1426" s="16" t="n">
        <f aca="false">IF(A1426=A1425,IF(F1426&lt;0,-F1426,0),"")</f>
        <v>0</v>
      </c>
    </row>
    <row r="1427" customFormat="false" ht="15" hidden="false" customHeight="false" outlineLevel="0" collapsed="false">
      <c r="A1427" s="14" t="s">
        <v>105</v>
      </c>
      <c r="B1427" s="15" t="n">
        <v>46049</v>
      </c>
      <c r="C1427" s="14" t="n">
        <v>1547.59</v>
      </c>
      <c r="D1427" s="14" t="n">
        <v>1582898</v>
      </c>
      <c r="E1427" s="16" t="n">
        <f aca="false">COUNTIFS($A$2:$A$1561,A1427,$B$2:$B$1561,"&gt;"&amp;B1427)+1</f>
        <v>135</v>
      </c>
      <c r="F1427" s="16" t="n">
        <f aca="false">IF(A1427=A1426,C1427-C1426,"")</f>
        <v>-3.51999999999998</v>
      </c>
      <c r="G1427" s="16" t="n">
        <f aca="false">IF(A1427=A1426,IF(F1427&gt;0,F1427,0),"")</f>
        <v>0</v>
      </c>
      <c r="H1427" s="16" t="n">
        <f aca="false">IF(A1427=A1426,IF(F1427&lt;0,-F1427,0),"")</f>
        <v>3.51999999999998</v>
      </c>
    </row>
    <row r="1428" customFormat="false" ht="15" hidden="false" customHeight="false" outlineLevel="0" collapsed="false">
      <c r="A1428" s="14" t="s">
        <v>105</v>
      </c>
      <c r="B1428" s="15" t="n">
        <v>46050</v>
      </c>
      <c r="C1428" s="14" t="n">
        <v>1561.54</v>
      </c>
      <c r="D1428" s="14" t="n">
        <v>1679452</v>
      </c>
      <c r="E1428" s="16" t="n">
        <f aca="false">COUNTIFS($A$2:$A$1561,A1428,$B$2:$B$1561,"&gt;"&amp;B1428)+1</f>
        <v>134</v>
      </c>
      <c r="F1428" s="16" t="n">
        <f aca="false">IF(A1428=A1427,C1428-C1427,"")</f>
        <v>13.95</v>
      </c>
      <c r="G1428" s="16" t="n">
        <f aca="false">IF(A1428=A1427,IF(F1428&gt;0,F1428,0),"")</f>
        <v>13.95</v>
      </c>
      <c r="H1428" s="16" t="n">
        <f aca="false">IF(A1428=A1427,IF(F1428&lt;0,-F1428,0),"")</f>
        <v>0</v>
      </c>
    </row>
    <row r="1429" customFormat="false" ht="15" hidden="false" customHeight="false" outlineLevel="0" collapsed="false">
      <c r="A1429" s="14" t="s">
        <v>105</v>
      </c>
      <c r="B1429" s="15" t="n">
        <v>46051</v>
      </c>
      <c r="C1429" s="14" t="n">
        <v>1563.89</v>
      </c>
      <c r="D1429" s="14" t="n">
        <v>2181594</v>
      </c>
      <c r="E1429" s="16" t="n">
        <f aca="false">COUNTIFS($A$2:$A$1561,A1429,$B$2:$B$1561,"&gt;"&amp;B1429)+1</f>
        <v>133</v>
      </c>
      <c r="F1429" s="16" t="n">
        <f aca="false">IF(A1429=A1428,C1429-C1428,"")</f>
        <v>2.35000000000014</v>
      </c>
      <c r="G1429" s="16" t="n">
        <f aca="false">IF(A1429=A1428,IF(F1429&gt;0,F1429,0),"")</f>
        <v>2.35000000000014</v>
      </c>
      <c r="H1429" s="16" t="n">
        <f aca="false">IF(A1429=A1428,IF(F1429&lt;0,-F1429,0),"")</f>
        <v>0</v>
      </c>
    </row>
    <row r="1430" customFormat="false" ht="15" hidden="false" customHeight="false" outlineLevel="0" collapsed="false">
      <c r="A1430" s="14" t="s">
        <v>105</v>
      </c>
      <c r="B1430" s="15" t="n">
        <v>46052</v>
      </c>
      <c r="C1430" s="14" t="n">
        <v>1573.69</v>
      </c>
      <c r="D1430" s="14" t="n">
        <v>1337264</v>
      </c>
      <c r="E1430" s="16" t="n">
        <f aca="false">COUNTIFS($A$2:$A$1561,A1430,$B$2:$B$1561,"&gt;"&amp;B1430)+1</f>
        <v>132</v>
      </c>
      <c r="F1430" s="16" t="n">
        <f aca="false">IF(A1430=A1429,C1430-C1429,"")</f>
        <v>9.79999999999996</v>
      </c>
      <c r="G1430" s="16" t="n">
        <f aca="false">IF(A1430=A1429,IF(F1430&gt;0,F1430,0),"")</f>
        <v>9.79999999999996</v>
      </c>
      <c r="H1430" s="16" t="n">
        <f aca="false">IF(A1430=A1429,IF(F1430&lt;0,-F1430,0),"")</f>
        <v>0</v>
      </c>
    </row>
    <row r="1431" customFormat="false" ht="15" hidden="false" customHeight="false" outlineLevel="0" collapsed="false">
      <c r="A1431" s="14" t="s">
        <v>105</v>
      </c>
      <c r="B1431" s="15" t="n">
        <v>46055</v>
      </c>
      <c r="C1431" s="14" t="n">
        <v>1575.55</v>
      </c>
      <c r="D1431" s="14" t="n">
        <v>2233788</v>
      </c>
      <c r="E1431" s="16" t="n">
        <f aca="false">COUNTIFS($A$2:$A$1561,A1431,$B$2:$B$1561,"&gt;"&amp;B1431)+1</f>
        <v>131</v>
      </c>
      <c r="F1431" s="16" t="n">
        <f aca="false">IF(A1431=A1430,C1431-C1430,"")</f>
        <v>1.8599999999999</v>
      </c>
      <c r="G1431" s="16" t="n">
        <f aca="false">IF(A1431=A1430,IF(F1431&gt;0,F1431,0),"")</f>
        <v>1.8599999999999</v>
      </c>
      <c r="H1431" s="16" t="n">
        <f aca="false">IF(A1431=A1430,IF(F1431&lt;0,-F1431,0),"")</f>
        <v>0</v>
      </c>
    </row>
    <row r="1432" customFormat="false" ht="15" hidden="false" customHeight="false" outlineLevel="0" collapsed="false">
      <c r="A1432" s="14" t="s">
        <v>105</v>
      </c>
      <c r="B1432" s="15" t="n">
        <v>46056</v>
      </c>
      <c r="C1432" s="14" t="n">
        <v>1575.69</v>
      </c>
      <c r="D1432" s="14" t="n">
        <v>2263307</v>
      </c>
      <c r="E1432" s="16" t="n">
        <f aca="false">COUNTIFS($A$2:$A$1561,A1432,$B$2:$B$1561,"&gt;"&amp;B1432)+1</f>
        <v>130</v>
      </c>
      <c r="F1432" s="16" t="n">
        <f aca="false">IF(A1432=A1431,C1432-C1431,"")</f>
        <v>0.1400000000001</v>
      </c>
      <c r="G1432" s="16" t="n">
        <f aca="false">IF(A1432=A1431,IF(F1432&gt;0,F1432,0),"")</f>
        <v>0.1400000000001</v>
      </c>
      <c r="H1432" s="16" t="n">
        <f aca="false">IF(A1432=A1431,IF(F1432&lt;0,-F1432,0),"")</f>
        <v>0</v>
      </c>
    </row>
    <row r="1433" customFormat="false" ht="15" hidden="false" customHeight="false" outlineLevel="0" collapsed="false">
      <c r="A1433" s="14" t="s">
        <v>105</v>
      </c>
      <c r="B1433" s="15" t="n">
        <v>46057</v>
      </c>
      <c r="C1433" s="14" t="n">
        <v>1575.86</v>
      </c>
      <c r="D1433" s="14" t="n">
        <v>657910</v>
      </c>
      <c r="E1433" s="16" t="n">
        <f aca="false">COUNTIFS($A$2:$A$1561,A1433,$B$2:$B$1561,"&gt;"&amp;B1433)+1</f>
        <v>129</v>
      </c>
      <c r="F1433" s="16" t="n">
        <f aca="false">IF(A1433=A1432,C1433-C1432,"")</f>
        <v>0.169999999999845</v>
      </c>
      <c r="G1433" s="16" t="n">
        <f aca="false">IF(A1433=A1432,IF(F1433&gt;0,F1433,0),"")</f>
        <v>0.169999999999845</v>
      </c>
      <c r="H1433" s="16" t="n">
        <f aca="false">IF(A1433=A1432,IF(F1433&lt;0,-F1433,0),"")</f>
        <v>0</v>
      </c>
    </row>
    <row r="1434" customFormat="false" ht="15" hidden="false" customHeight="false" outlineLevel="0" collapsed="false">
      <c r="A1434" s="14" t="s">
        <v>105</v>
      </c>
      <c r="B1434" s="15" t="n">
        <v>46058</v>
      </c>
      <c r="C1434" s="14" t="n">
        <v>1588.14</v>
      </c>
      <c r="D1434" s="14" t="n">
        <v>1928611</v>
      </c>
      <c r="E1434" s="16" t="n">
        <f aca="false">COUNTIFS($A$2:$A$1561,A1434,$B$2:$B$1561,"&gt;"&amp;B1434)+1</f>
        <v>128</v>
      </c>
      <c r="F1434" s="16" t="n">
        <f aca="false">IF(A1434=A1433,C1434-C1433,"")</f>
        <v>12.2800000000002</v>
      </c>
      <c r="G1434" s="16" t="n">
        <f aca="false">IF(A1434=A1433,IF(F1434&gt;0,F1434,0),"")</f>
        <v>12.2800000000002</v>
      </c>
      <c r="H1434" s="16" t="n">
        <f aca="false">IF(A1434=A1433,IF(F1434&lt;0,-F1434,0),"")</f>
        <v>0</v>
      </c>
    </row>
    <row r="1435" customFormat="false" ht="15" hidden="false" customHeight="false" outlineLevel="0" collapsed="false">
      <c r="A1435" s="14" t="s">
        <v>105</v>
      </c>
      <c r="B1435" s="15" t="n">
        <v>46059</v>
      </c>
      <c r="C1435" s="14" t="n">
        <v>1589.06</v>
      </c>
      <c r="D1435" s="14" t="n">
        <v>2300910</v>
      </c>
      <c r="E1435" s="16" t="n">
        <f aca="false">COUNTIFS($A$2:$A$1561,A1435,$B$2:$B$1561,"&gt;"&amp;B1435)+1</f>
        <v>127</v>
      </c>
      <c r="F1435" s="16" t="n">
        <f aca="false">IF(A1435=A1434,C1435-C1434,"")</f>
        <v>0.919999999999845</v>
      </c>
      <c r="G1435" s="16" t="n">
        <f aca="false">IF(A1435=A1434,IF(F1435&gt;0,F1435,0),"")</f>
        <v>0.919999999999845</v>
      </c>
      <c r="H1435" s="16" t="n">
        <f aca="false">IF(A1435=A1434,IF(F1435&lt;0,-F1435,0),"")</f>
        <v>0</v>
      </c>
    </row>
    <row r="1436" customFormat="false" ht="15" hidden="false" customHeight="false" outlineLevel="0" collapsed="false">
      <c r="A1436" s="14" t="s">
        <v>105</v>
      </c>
      <c r="B1436" s="15" t="n">
        <v>46062</v>
      </c>
      <c r="C1436" s="14" t="n">
        <v>1598.51</v>
      </c>
      <c r="D1436" s="14" t="n">
        <v>1855069</v>
      </c>
      <c r="E1436" s="16" t="n">
        <f aca="false">COUNTIFS($A$2:$A$1561,A1436,$B$2:$B$1561,"&gt;"&amp;B1436)+1</f>
        <v>126</v>
      </c>
      <c r="F1436" s="16" t="n">
        <f aca="false">IF(A1436=A1435,C1436-C1435,"")</f>
        <v>9.45000000000005</v>
      </c>
      <c r="G1436" s="16" t="n">
        <f aca="false">IF(A1436=A1435,IF(F1436&gt;0,F1436,0),"")</f>
        <v>9.45000000000005</v>
      </c>
      <c r="H1436" s="16" t="n">
        <f aca="false">IF(A1436=A1435,IF(F1436&lt;0,-F1436,0),"")</f>
        <v>0</v>
      </c>
    </row>
    <row r="1437" customFormat="false" ht="15" hidden="false" customHeight="false" outlineLevel="0" collapsed="false">
      <c r="A1437" s="14" t="s">
        <v>105</v>
      </c>
      <c r="B1437" s="15" t="n">
        <v>46063</v>
      </c>
      <c r="C1437" s="14" t="n">
        <v>1602.83</v>
      </c>
      <c r="D1437" s="14" t="n">
        <v>740563</v>
      </c>
      <c r="E1437" s="16" t="n">
        <f aca="false">COUNTIFS($A$2:$A$1561,A1437,$B$2:$B$1561,"&gt;"&amp;B1437)+1</f>
        <v>125</v>
      </c>
      <c r="F1437" s="16" t="n">
        <f aca="false">IF(A1437=A1436,C1437-C1436,"")</f>
        <v>4.31999999999994</v>
      </c>
      <c r="G1437" s="16" t="n">
        <f aca="false">IF(A1437=A1436,IF(F1437&gt;0,F1437,0),"")</f>
        <v>4.31999999999994</v>
      </c>
      <c r="H1437" s="16" t="n">
        <f aca="false">IF(A1437=A1436,IF(F1437&lt;0,-F1437,0),"")</f>
        <v>0</v>
      </c>
    </row>
    <row r="1438" customFormat="false" ht="15" hidden="false" customHeight="false" outlineLevel="0" collapsed="false">
      <c r="A1438" s="14" t="s">
        <v>105</v>
      </c>
      <c r="B1438" s="15" t="n">
        <v>46064</v>
      </c>
      <c r="C1438" s="14" t="n">
        <v>1611.12</v>
      </c>
      <c r="D1438" s="14" t="n">
        <v>845757</v>
      </c>
      <c r="E1438" s="16" t="n">
        <f aca="false">COUNTIFS($A$2:$A$1561,A1438,$B$2:$B$1561,"&gt;"&amp;B1438)+1</f>
        <v>124</v>
      </c>
      <c r="F1438" s="16" t="n">
        <f aca="false">IF(A1438=A1437,C1438-C1437,"")</f>
        <v>8.28999999999996</v>
      </c>
      <c r="G1438" s="16" t="n">
        <f aca="false">IF(A1438=A1437,IF(F1438&gt;0,F1438,0),"")</f>
        <v>8.28999999999996</v>
      </c>
      <c r="H1438" s="16" t="n">
        <f aca="false">IF(A1438=A1437,IF(F1438&lt;0,-F1438,0),"")</f>
        <v>0</v>
      </c>
    </row>
    <row r="1439" customFormat="false" ht="15" hidden="false" customHeight="false" outlineLevel="0" collapsed="false">
      <c r="A1439" s="14" t="s">
        <v>105</v>
      </c>
      <c r="B1439" s="15" t="n">
        <v>46065</v>
      </c>
      <c r="C1439" s="14" t="n">
        <v>1626.04</v>
      </c>
      <c r="D1439" s="14" t="n">
        <v>2444329</v>
      </c>
      <c r="E1439" s="16" t="n">
        <f aca="false">COUNTIFS($A$2:$A$1561,A1439,$B$2:$B$1561,"&gt;"&amp;B1439)+1</f>
        <v>123</v>
      </c>
      <c r="F1439" s="16" t="n">
        <f aca="false">IF(A1439=A1438,C1439-C1438,"")</f>
        <v>14.9200000000001</v>
      </c>
      <c r="G1439" s="16" t="n">
        <f aca="false">IF(A1439=A1438,IF(F1439&gt;0,F1439,0),"")</f>
        <v>14.9200000000001</v>
      </c>
      <c r="H1439" s="16" t="n">
        <f aca="false">IF(A1439=A1438,IF(F1439&lt;0,-F1439,0),"")</f>
        <v>0</v>
      </c>
    </row>
    <row r="1440" customFormat="false" ht="15" hidden="false" customHeight="false" outlineLevel="0" collapsed="false">
      <c r="A1440" s="14" t="s">
        <v>105</v>
      </c>
      <c r="B1440" s="15" t="n">
        <v>46066</v>
      </c>
      <c r="C1440" s="14" t="n">
        <v>1635.94</v>
      </c>
      <c r="D1440" s="14" t="n">
        <v>752371</v>
      </c>
      <c r="E1440" s="16" t="n">
        <f aca="false">COUNTIFS($A$2:$A$1561,A1440,$B$2:$B$1561,"&gt;"&amp;B1440)+1</f>
        <v>122</v>
      </c>
      <c r="F1440" s="16" t="n">
        <f aca="false">IF(A1440=A1439,C1440-C1439,"")</f>
        <v>9.90000000000009</v>
      </c>
      <c r="G1440" s="16" t="n">
        <f aca="false">IF(A1440=A1439,IF(F1440&gt;0,F1440,0),"")</f>
        <v>9.90000000000009</v>
      </c>
      <c r="H1440" s="16" t="n">
        <f aca="false">IF(A1440=A1439,IF(F1440&lt;0,-F1440,0),"")</f>
        <v>0</v>
      </c>
    </row>
    <row r="1441" customFormat="false" ht="15" hidden="false" customHeight="false" outlineLevel="0" collapsed="false">
      <c r="A1441" s="14" t="s">
        <v>105</v>
      </c>
      <c r="B1441" s="15" t="n">
        <v>46069</v>
      </c>
      <c r="C1441" s="14" t="n">
        <v>1634.57</v>
      </c>
      <c r="D1441" s="14" t="n">
        <v>2476559</v>
      </c>
      <c r="E1441" s="16" t="n">
        <f aca="false">COUNTIFS($A$2:$A$1561,A1441,$B$2:$B$1561,"&gt;"&amp;B1441)+1</f>
        <v>121</v>
      </c>
      <c r="F1441" s="16" t="n">
        <f aca="false">IF(A1441=A1440,C1441-C1440,"")</f>
        <v>-1.37000000000012</v>
      </c>
      <c r="G1441" s="16" t="n">
        <f aca="false">IF(A1441=A1440,IF(F1441&gt;0,F1441,0),"")</f>
        <v>0</v>
      </c>
      <c r="H1441" s="16" t="n">
        <f aca="false">IF(A1441=A1440,IF(F1441&lt;0,-F1441,0),"")</f>
        <v>1.37000000000012</v>
      </c>
    </row>
    <row r="1442" customFormat="false" ht="15" hidden="false" customHeight="false" outlineLevel="0" collapsed="false">
      <c r="A1442" s="14" t="s">
        <v>105</v>
      </c>
      <c r="B1442" s="15" t="n">
        <v>46070</v>
      </c>
      <c r="C1442" s="14" t="n">
        <v>1633.55</v>
      </c>
      <c r="D1442" s="14" t="n">
        <v>2494538</v>
      </c>
      <c r="E1442" s="16" t="n">
        <f aca="false">COUNTIFS($A$2:$A$1561,A1442,$B$2:$B$1561,"&gt;"&amp;B1442)+1</f>
        <v>120</v>
      </c>
      <c r="F1442" s="16" t="n">
        <f aca="false">IF(A1442=A1441,C1442-C1441,"")</f>
        <v>-1.01999999999998</v>
      </c>
      <c r="G1442" s="16" t="n">
        <f aca="false">IF(A1442=A1441,IF(F1442&gt;0,F1442,0),"")</f>
        <v>0</v>
      </c>
      <c r="H1442" s="16" t="n">
        <f aca="false">IF(A1442=A1441,IF(F1442&lt;0,-F1442,0),"")</f>
        <v>1.01999999999998</v>
      </c>
    </row>
    <row r="1443" customFormat="false" ht="15" hidden="false" customHeight="false" outlineLevel="0" collapsed="false">
      <c r="A1443" s="14" t="s">
        <v>105</v>
      </c>
      <c r="B1443" s="15" t="n">
        <v>46071</v>
      </c>
      <c r="C1443" s="14" t="n">
        <v>1638.17</v>
      </c>
      <c r="D1443" s="14" t="n">
        <v>2168216</v>
      </c>
      <c r="E1443" s="16" t="n">
        <f aca="false">COUNTIFS($A$2:$A$1561,A1443,$B$2:$B$1561,"&gt;"&amp;B1443)+1</f>
        <v>119</v>
      </c>
      <c r="F1443" s="16" t="n">
        <f aca="false">IF(A1443=A1442,C1443-C1442,"")</f>
        <v>4.62000000000012</v>
      </c>
      <c r="G1443" s="16" t="n">
        <f aca="false">IF(A1443=A1442,IF(F1443&gt;0,F1443,0),"")</f>
        <v>4.62000000000012</v>
      </c>
      <c r="H1443" s="16" t="n">
        <f aca="false">IF(A1443=A1442,IF(F1443&lt;0,-F1443,0),"")</f>
        <v>0</v>
      </c>
    </row>
    <row r="1444" customFormat="false" ht="15" hidden="false" customHeight="false" outlineLevel="0" collapsed="false">
      <c r="A1444" s="14" t="s">
        <v>105</v>
      </c>
      <c r="B1444" s="15" t="n">
        <v>46072</v>
      </c>
      <c r="C1444" s="14" t="n">
        <v>1631.92</v>
      </c>
      <c r="D1444" s="14" t="n">
        <v>2321608</v>
      </c>
      <c r="E1444" s="16" t="n">
        <f aca="false">COUNTIFS($A$2:$A$1561,A1444,$B$2:$B$1561,"&gt;"&amp;B1444)+1</f>
        <v>118</v>
      </c>
      <c r="F1444" s="16" t="n">
        <f aca="false">IF(A1444=A1443,C1444-C1443,"")</f>
        <v>-6.25</v>
      </c>
      <c r="G1444" s="16" t="n">
        <f aca="false">IF(A1444=A1443,IF(F1444&gt;0,F1444,0),"")</f>
        <v>0</v>
      </c>
      <c r="H1444" s="16" t="n">
        <f aca="false">IF(A1444=A1443,IF(F1444&lt;0,-F1444,0),"")</f>
        <v>6.25</v>
      </c>
    </row>
    <row r="1445" customFormat="false" ht="15" hidden="false" customHeight="false" outlineLevel="0" collapsed="false">
      <c r="A1445" s="14" t="s">
        <v>105</v>
      </c>
      <c r="B1445" s="15" t="n">
        <v>46073</v>
      </c>
      <c r="C1445" s="14" t="n">
        <v>1644.97</v>
      </c>
      <c r="D1445" s="14" t="n">
        <v>634023</v>
      </c>
      <c r="E1445" s="16" t="n">
        <f aca="false">COUNTIFS($A$2:$A$1561,A1445,$B$2:$B$1561,"&gt;"&amp;B1445)+1</f>
        <v>117</v>
      </c>
      <c r="F1445" s="16" t="n">
        <f aca="false">IF(A1445=A1444,C1445-C1444,"")</f>
        <v>13.05</v>
      </c>
      <c r="G1445" s="16" t="n">
        <f aca="false">IF(A1445=A1444,IF(F1445&gt;0,F1445,0),"")</f>
        <v>13.05</v>
      </c>
      <c r="H1445" s="16" t="n">
        <f aca="false">IF(A1445=A1444,IF(F1445&lt;0,-F1445,0),"")</f>
        <v>0</v>
      </c>
    </row>
    <row r="1446" customFormat="false" ht="15" hidden="false" customHeight="false" outlineLevel="0" collapsed="false">
      <c r="A1446" s="14" t="s">
        <v>105</v>
      </c>
      <c r="B1446" s="15" t="n">
        <v>46076</v>
      </c>
      <c r="C1446" s="14" t="n">
        <v>1642.54</v>
      </c>
      <c r="D1446" s="14" t="n">
        <v>1294709</v>
      </c>
      <c r="E1446" s="16" t="n">
        <f aca="false">COUNTIFS($A$2:$A$1561,A1446,$B$2:$B$1561,"&gt;"&amp;B1446)+1</f>
        <v>116</v>
      </c>
      <c r="F1446" s="16" t="n">
        <f aca="false">IF(A1446=A1445,C1446-C1445,"")</f>
        <v>-2.43000000000006</v>
      </c>
      <c r="G1446" s="16" t="n">
        <f aca="false">IF(A1446=A1445,IF(F1446&gt;0,F1446,0),"")</f>
        <v>0</v>
      </c>
      <c r="H1446" s="16" t="n">
        <f aca="false">IF(A1446=A1445,IF(F1446&lt;0,-F1446,0),"")</f>
        <v>2.43000000000006</v>
      </c>
    </row>
    <row r="1447" customFormat="false" ht="15" hidden="false" customHeight="false" outlineLevel="0" collapsed="false">
      <c r="A1447" s="14" t="s">
        <v>105</v>
      </c>
      <c r="B1447" s="15" t="n">
        <v>46077</v>
      </c>
      <c r="C1447" s="14" t="n">
        <v>1638.29</v>
      </c>
      <c r="D1447" s="14" t="n">
        <v>1052401</v>
      </c>
      <c r="E1447" s="16" t="n">
        <f aca="false">COUNTIFS($A$2:$A$1561,A1447,$B$2:$B$1561,"&gt;"&amp;B1447)+1</f>
        <v>115</v>
      </c>
      <c r="F1447" s="16" t="n">
        <f aca="false">IF(A1447=A1446,C1447-C1446,"")</f>
        <v>-4.25</v>
      </c>
      <c r="G1447" s="16" t="n">
        <f aca="false">IF(A1447=A1446,IF(F1447&gt;0,F1447,0),"")</f>
        <v>0</v>
      </c>
      <c r="H1447" s="16" t="n">
        <f aca="false">IF(A1447=A1446,IF(F1447&lt;0,-F1447,0),"")</f>
        <v>4.25</v>
      </c>
    </row>
    <row r="1448" customFormat="false" ht="15" hidden="false" customHeight="false" outlineLevel="0" collapsed="false">
      <c r="A1448" s="14" t="s">
        <v>105</v>
      </c>
      <c r="B1448" s="15" t="n">
        <v>46078</v>
      </c>
      <c r="C1448" s="14" t="n">
        <v>1637.94</v>
      </c>
      <c r="D1448" s="14" t="n">
        <v>2246932</v>
      </c>
      <c r="E1448" s="16" t="n">
        <f aca="false">COUNTIFS($A$2:$A$1561,A1448,$B$2:$B$1561,"&gt;"&amp;B1448)+1</f>
        <v>114</v>
      </c>
      <c r="F1448" s="16" t="n">
        <f aca="false">IF(A1448=A1447,C1448-C1447,"")</f>
        <v>-0.349999999999909</v>
      </c>
      <c r="G1448" s="16" t="n">
        <f aca="false">IF(A1448=A1447,IF(F1448&gt;0,F1448,0),"")</f>
        <v>0</v>
      </c>
      <c r="H1448" s="16" t="n">
        <f aca="false">IF(A1448=A1447,IF(F1448&lt;0,-F1448,0),"")</f>
        <v>0.349999999999909</v>
      </c>
    </row>
    <row r="1449" customFormat="false" ht="15" hidden="false" customHeight="false" outlineLevel="0" collapsed="false">
      <c r="A1449" s="14" t="s">
        <v>105</v>
      </c>
      <c r="B1449" s="15" t="n">
        <v>46079</v>
      </c>
      <c r="C1449" s="14" t="n">
        <v>1647.27</v>
      </c>
      <c r="D1449" s="14" t="n">
        <v>1746115</v>
      </c>
      <c r="E1449" s="16" t="n">
        <f aca="false">COUNTIFS($A$2:$A$1561,A1449,$B$2:$B$1561,"&gt;"&amp;B1449)+1</f>
        <v>113</v>
      </c>
      <c r="F1449" s="16" t="n">
        <f aca="false">IF(A1449=A1448,C1449-C1448,"")</f>
        <v>9.32999999999993</v>
      </c>
      <c r="G1449" s="16" t="n">
        <f aca="false">IF(A1449=A1448,IF(F1449&gt;0,F1449,0),"")</f>
        <v>9.32999999999993</v>
      </c>
      <c r="H1449" s="16" t="n">
        <f aca="false">IF(A1449=A1448,IF(F1449&lt;0,-F1449,0),"")</f>
        <v>0</v>
      </c>
    </row>
    <row r="1450" customFormat="false" ht="15" hidden="false" customHeight="false" outlineLevel="0" collapsed="false">
      <c r="A1450" s="14" t="s">
        <v>105</v>
      </c>
      <c r="B1450" s="15" t="n">
        <v>46080</v>
      </c>
      <c r="C1450" s="14" t="n">
        <v>1648.83</v>
      </c>
      <c r="D1450" s="14" t="n">
        <v>1339187</v>
      </c>
      <c r="E1450" s="16" t="n">
        <f aca="false">COUNTIFS($A$2:$A$1561,A1450,$B$2:$B$1561,"&gt;"&amp;B1450)+1</f>
        <v>112</v>
      </c>
      <c r="F1450" s="16" t="n">
        <f aca="false">IF(A1450=A1449,C1450-C1449,"")</f>
        <v>1.55999999999995</v>
      </c>
      <c r="G1450" s="16" t="n">
        <f aca="false">IF(A1450=A1449,IF(F1450&gt;0,F1450,0),"")</f>
        <v>1.55999999999995</v>
      </c>
      <c r="H1450" s="16" t="n">
        <f aca="false">IF(A1450=A1449,IF(F1450&lt;0,-F1450,0),"")</f>
        <v>0</v>
      </c>
    </row>
    <row r="1451" customFormat="false" ht="15" hidden="false" customHeight="false" outlineLevel="0" collapsed="false">
      <c r="A1451" s="14" t="s">
        <v>105</v>
      </c>
      <c r="B1451" s="15" t="n">
        <v>46083</v>
      </c>
      <c r="C1451" s="14" t="n">
        <v>1647.18</v>
      </c>
      <c r="D1451" s="14" t="n">
        <v>796399</v>
      </c>
      <c r="E1451" s="16" t="n">
        <f aca="false">COUNTIFS($A$2:$A$1561,A1451,$B$2:$B$1561,"&gt;"&amp;B1451)+1</f>
        <v>111</v>
      </c>
      <c r="F1451" s="16" t="n">
        <f aca="false">IF(A1451=A1450,C1451-C1450,"")</f>
        <v>-1.64999999999986</v>
      </c>
      <c r="G1451" s="16" t="n">
        <f aca="false">IF(A1451=A1450,IF(F1451&gt;0,F1451,0),"")</f>
        <v>0</v>
      </c>
      <c r="H1451" s="16" t="n">
        <f aca="false">IF(A1451=A1450,IF(F1451&lt;0,-F1451,0),"")</f>
        <v>1.64999999999986</v>
      </c>
    </row>
    <row r="1452" customFormat="false" ht="15" hidden="false" customHeight="false" outlineLevel="0" collapsed="false">
      <c r="A1452" s="14" t="s">
        <v>105</v>
      </c>
      <c r="B1452" s="15" t="n">
        <v>46084</v>
      </c>
      <c r="C1452" s="14" t="n">
        <v>1650.68</v>
      </c>
      <c r="D1452" s="14" t="n">
        <v>2016754</v>
      </c>
      <c r="E1452" s="16" t="n">
        <f aca="false">COUNTIFS($A$2:$A$1561,A1452,$B$2:$B$1561,"&gt;"&amp;B1452)+1</f>
        <v>110</v>
      </c>
      <c r="F1452" s="16" t="n">
        <f aca="false">IF(A1452=A1451,C1452-C1451,"")</f>
        <v>3.5</v>
      </c>
      <c r="G1452" s="16" t="n">
        <f aca="false">IF(A1452=A1451,IF(F1452&gt;0,F1452,0),"")</f>
        <v>3.5</v>
      </c>
      <c r="H1452" s="16" t="n">
        <f aca="false">IF(A1452=A1451,IF(F1452&lt;0,-F1452,0),"")</f>
        <v>0</v>
      </c>
    </row>
    <row r="1453" customFormat="false" ht="15" hidden="false" customHeight="false" outlineLevel="0" collapsed="false">
      <c r="A1453" s="14" t="s">
        <v>105</v>
      </c>
      <c r="B1453" s="15" t="n">
        <v>46085</v>
      </c>
      <c r="C1453" s="14" t="n">
        <v>1664.63</v>
      </c>
      <c r="D1453" s="14" t="n">
        <v>2349856</v>
      </c>
      <c r="E1453" s="16" t="n">
        <f aca="false">COUNTIFS($A$2:$A$1561,A1453,$B$2:$B$1561,"&gt;"&amp;B1453)+1</f>
        <v>109</v>
      </c>
      <c r="F1453" s="16" t="n">
        <f aca="false">IF(A1453=A1452,C1453-C1452,"")</f>
        <v>13.95</v>
      </c>
      <c r="G1453" s="16" t="n">
        <f aca="false">IF(A1453=A1452,IF(F1453&gt;0,F1453,0),"")</f>
        <v>13.95</v>
      </c>
      <c r="H1453" s="16" t="n">
        <f aca="false">IF(A1453=A1452,IF(F1453&lt;0,-F1453,0),"")</f>
        <v>0</v>
      </c>
    </row>
    <row r="1454" customFormat="false" ht="15" hidden="false" customHeight="false" outlineLevel="0" collapsed="false">
      <c r="A1454" s="14" t="s">
        <v>105</v>
      </c>
      <c r="B1454" s="15" t="n">
        <v>46086</v>
      </c>
      <c r="C1454" s="14" t="n">
        <v>1667.41</v>
      </c>
      <c r="D1454" s="14" t="n">
        <v>701980</v>
      </c>
      <c r="E1454" s="16" t="n">
        <f aca="false">COUNTIFS($A$2:$A$1561,A1454,$B$2:$B$1561,"&gt;"&amp;B1454)+1</f>
        <v>108</v>
      </c>
      <c r="F1454" s="16" t="n">
        <f aca="false">IF(A1454=A1453,C1454-C1453,"")</f>
        <v>2.77999999999997</v>
      </c>
      <c r="G1454" s="16" t="n">
        <f aca="false">IF(A1454=A1453,IF(F1454&gt;0,F1454,0),"")</f>
        <v>2.77999999999997</v>
      </c>
      <c r="H1454" s="16" t="n">
        <f aca="false">IF(A1454=A1453,IF(F1454&lt;0,-F1454,0),"")</f>
        <v>0</v>
      </c>
    </row>
    <row r="1455" customFormat="false" ht="15" hidden="false" customHeight="false" outlineLevel="0" collapsed="false">
      <c r="A1455" s="14" t="s">
        <v>105</v>
      </c>
      <c r="B1455" s="15" t="n">
        <v>46087</v>
      </c>
      <c r="C1455" s="14" t="n">
        <v>1661.89</v>
      </c>
      <c r="D1455" s="14" t="n">
        <v>1571266</v>
      </c>
      <c r="E1455" s="16" t="n">
        <f aca="false">COUNTIFS($A$2:$A$1561,A1455,$B$2:$B$1561,"&gt;"&amp;B1455)+1</f>
        <v>107</v>
      </c>
      <c r="F1455" s="16" t="n">
        <f aca="false">IF(A1455=A1454,C1455-C1454,"")</f>
        <v>-5.51999999999998</v>
      </c>
      <c r="G1455" s="16" t="n">
        <f aca="false">IF(A1455=A1454,IF(F1455&gt;0,F1455,0),"")</f>
        <v>0</v>
      </c>
      <c r="H1455" s="16" t="n">
        <f aca="false">IF(A1455=A1454,IF(F1455&lt;0,-F1455,0),"")</f>
        <v>5.51999999999998</v>
      </c>
    </row>
    <row r="1456" customFormat="false" ht="15" hidden="false" customHeight="false" outlineLevel="0" collapsed="false">
      <c r="A1456" s="14" t="s">
        <v>105</v>
      </c>
      <c r="B1456" s="15" t="n">
        <v>46090</v>
      </c>
      <c r="C1456" s="14" t="n">
        <v>1658.12</v>
      </c>
      <c r="D1456" s="14" t="n">
        <v>1321780</v>
      </c>
      <c r="E1456" s="16" t="n">
        <f aca="false">COUNTIFS($A$2:$A$1561,A1456,$B$2:$B$1561,"&gt;"&amp;B1456)+1</f>
        <v>106</v>
      </c>
      <c r="F1456" s="16" t="n">
        <f aca="false">IF(A1456=A1455,C1456-C1455,"")</f>
        <v>-3.77000000000021</v>
      </c>
      <c r="G1456" s="16" t="n">
        <f aca="false">IF(A1456=A1455,IF(F1456&gt;0,F1456,0),"")</f>
        <v>0</v>
      </c>
      <c r="H1456" s="16" t="n">
        <f aca="false">IF(A1456=A1455,IF(F1456&lt;0,-F1456,0),"")</f>
        <v>3.77000000000021</v>
      </c>
    </row>
    <row r="1457" customFormat="false" ht="15" hidden="false" customHeight="false" outlineLevel="0" collapsed="false">
      <c r="A1457" s="14" t="s">
        <v>105</v>
      </c>
      <c r="B1457" s="15" t="n">
        <v>46091</v>
      </c>
      <c r="C1457" s="14" t="n">
        <v>1655.52</v>
      </c>
      <c r="D1457" s="14" t="n">
        <v>1471169</v>
      </c>
      <c r="E1457" s="16" t="n">
        <f aca="false">COUNTIFS($A$2:$A$1561,A1457,$B$2:$B$1561,"&gt;"&amp;B1457)+1</f>
        <v>105</v>
      </c>
      <c r="F1457" s="16" t="n">
        <f aca="false">IF(A1457=A1456,C1457-C1456,"")</f>
        <v>-2.59999999999991</v>
      </c>
      <c r="G1457" s="16" t="n">
        <f aca="false">IF(A1457=A1456,IF(F1457&gt;0,F1457,0),"")</f>
        <v>0</v>
      </c>
      <c r="H1457" s="16" t="n">
        <f aca="false">IF(A1457=A1456,IF(F1457&lt;0,-F1457,0),"")</f>
        <v>2.59999999999991</v>
      </c>
    </row>
    <row r="1458" customFormat="false" ht="15" hidden="false" customHeight="false" outlineLevel="0" collapsed="false">
      <c r="A1458" s="14" t="s">
        <v>105</v>
      </c>
      <c r="B1458" s="15" t="n">
        <v>46092</v>
      </c>
      <c r="C1458" s="14" t="n">
        <v>1659.66</v>
      </c>
      <c r="D1458" s="14" t="n">
        <v>574931</v>
      </c>
      <c r="E1458" s="16" t="n">
        <f aca="false">COUNTIFS($A$2:$A$1561,A1458,$B$2:$B$1561,"&gt;"&amp;B1458)+1</f>
        <v>104</v>
      </c>
      <c r="F1458" s="16" t="n">
        <f aca="false">IF(A1458=A1457,C1458-C1457,"")</f>
        <v>4.1400000000001</v>
      </c>
      <c r="G1458" s="16" t="n">
        <f aca="false">IF(A1458=A1457,IF(F1458&gt;0,F1458,0),"")</f>
        <v>4.1400000000001</v>
      </c>
      <c r="H1458" s="16" t="n">
        <f aca="false">IF(A1458=A1457,IF(F1458&lt;0,-F1458,0),"")</f>
        <v>0</v>
      </c>
    </row>
    <row r="1459" customFormat="false" ht="15" hidden="false" customHeight="false" outlineLevel="0" collapsed="false">
      <c r="A1459" s="14" t="s">
        <v>105</v>
      </c>
      <c r="B1459" s="15" t="n">
        <v>46093</v>
      </c>
      <c r="C1459" s="14" t="n">
        <v>1653.85</v>
      </c>
      <c r="D1459" s="14" t="n">
        <v>787705</v>
      </c>
      <c r="E1459" s="16" t="n">
        <f aca="false">COUNTIFS($A$2:$A$1561,A1459,$B$2:$B$1561,"&gt;"&amp;B1459)+1</f>
        <v>103</v>
      </c>
      <c r="F1459" s="16" t="n">
        <f aca="false">IF(A1459=A1458,C1459-C1458,"")</f>
        <v>-5.81000000000017</v>
      </c>
      <c r="G1459" s="16" t="n">
        <f aca="false">IF(A1459=A1458,IF(F1459&gt;0,F1459,0),"")</f>
        <v>0</v>
      </c>
      <c r="H1459" s="16" t="n">
        <f aca="false">IF(A1459=A1458,IF(F1459&lt;0,-F1459,0),"")</f>
        <v>5.81000000000017</v>
      </c>
    </row>
    <row r="1460" customFormat="false" ht="15" hidden="false" customHeight="false" outlineLevel="0" collapsed="false">
      <c r="A1460" s="14" t="s">
        <v>105</v>
      </c>
      <c r="B1460" s="15" t="n">
        <v>46094</v>
      </c>
      <c r="C1460" s="14" t="n">
        <v>1657.98</v>
      </c>
      <c r="D1460" s="14" t="n">
        <v>1887322</v>
      </c>
      <c r="E1460" s="16" t="n">
        <f aca="false">COUNTIFS($A$2:$A$1561,A1460,$B$2:$B$1561,"&gt;"&amp;B1460)+1</f>
        <v>102</v>
      </c>
      <c r="F1460" s="16" t="n">
        <f aca="false">IF(A1460=A1459,C1460-C1459,"")</f>
        <v>4.13000000000011</v>
      </c>
      <c r="G1460" s="16" t="n">
        <f aca="false">IF(A1460=A1459,IF(F1460&gt;0,F1460,0),"")</f>
        <v>4.13000000000011</v>
      </c>
      <c r="H1460" s="16" t="n">
        <f aca="false">IF(A1460=A1459,IF(F1460&lt;0,-F1460,0),"")</f>
        <v>0</v>
      </c>
    </row>
    <row r="1461" customFormat="false" ht="15" hidden="false" customHeight="false" outlineLevel="0" collapsed="false">
      <c r="A1461" s="14" t="s">
        <v>105</v>
      </c>
      <c r="B1461" s="15" t="n">
        <v>46097</v>
      </c>
      <c r="C1461" s="14" t="n">
        <v>1645.11</v>
      </c>
      <c r="D1461" s="14" t="n">
        <v>2279148</v>
      </c>
      <c r="E1461" s="16" t="n">
        <f aca="false">COUNTIFS($A$2:$A$1561,A1461,$B$2:$B$1561,"&gt;"&amp;B1461)+1</f>
        <v>101</v>
      </c>
      <c r="F1461" s="16" t="n">
        <f aca="false">IF(A1461=A1460,C1461-C1460,"")</f>
        <v>-12.8700000000001</v>
      </c>
      <c r="G1461" s="16" t="n">
        <f aca="false">IF(A1461=A1460,IF(F1461&gt;0,F1461,0),"")</f>
        <v>0</v>
      </c>
      <c r="H1461" s="16" t="n">
        <f aca="false">IF(A1461=A1460,IF(F1461&lt;0,-F1461,0),"")</f>
        <v>12.8700000000001</v>
      </c>
    </row>
    <row r="1462" customFormat="false" ht="15" hidden="false" customHeight="false" outlineLevel="0" collapsed="false">
      <c r="A1462" s="14" t="s">
        <v>105</v>
      </c>
      <c r="B1462" s="15" t="n">
        <v>46098</v>
      </c>
      <c r="C1462" s="14" t="n">
        <v>1641.01</v>
      </c>
      <c r="D1462" s="14" t="n">
        <v>975158</v>
      </c>
      <c r="E1462" s="16" t="n">
        <f aca="false">COUNTIFS($A$2:$A$1561,A1462,$B$2:$B$1561,"&gt;"&amp;B1462)+1</f>
        <v>100</v>
      </c>
      <c r="F1462" s="16" t="n">
        <f aca="false">IF(A1462=A1461,C1462-C1461,"")</f>
        <v>-4.09999999999991</v>
      </c>
      <c r="G1462" s="16" t="n">
        <f aca="false">IF(A1462=A1461,IF(F1462&gt;0,F1462,0),"")</f>
        <v>0</v>
      </c>
      <c r="H1462" s="16" t="n">
        <f aca="false">IF(A1462=A1461,IF(F1462&lt;0,-F1462,0),"")</f>
        <v>4.09999999999991</v>
      </c>
    </row>
    <row r="1463" customFormat="false" ht="15" hidden="false" customHeight="false" outlineLevel="0" collapsed="false">
      <c r="A1463" s="14" t="s">
        <v>105</v>
      </c>
      <c r="B1463" s="15" t="n">
        <v>46099</v>
      </c>
      <c r="C1463" s="14" t="n">
        <v>1649.15</v>
      </c>
      <c r="D1463" s="14" t="n">
        <v>2341669</v>
      </c>
      <c r="E1463" s="16" t="n">
        <f aca="false">COUNTIFS($A$2:$A$1561,A1463,$B$2:$B$1561,"&gt;"&amp;B1463)+1</f>
        <v>99</v>
      </c>
      <c r="F1463" s="16" t="n">
        <f aca="false">IF(A1463=A1462,C1463-C1462,"")</f>
        <v>8.1400000000001</v>
      </c>
      <c r="G1463" s="16" t="n">
        <f aca="false">IF(A1463=A1462,IF(F1463&gt;0,F1463,0),"")</f>
        <v>8.1400000000001</v>
      </c>
      <c r="H1463" s="16" t="n">
        <f aca="false">IF(A1463=A1462,IF(F1463&lt;0,-F1463,0),"")</f>
        <v>0</v>
      </c>
    </row>
    <row r="1464" customFormat="false" ht="15" hidden="false" customHeight="false" outlineLevel="0" collapsed="false">
      <c r="A1464" s="14" t="s">
        <v>105</v>
      </c>
      <c r="B1464" s="15" t="n">
        <v>46100</v>
      </c>
      <c r="C1464" s="14" t="n">
        <v>1661.83</v>
      </c>
      <c r="D1464" s="14" t="n">
        <v>540465</v>
      </c>
      <c r="E1464" s="16" t="n">
        <f aca="false">COUNTIFS($A$2:$A$1561,A1464,$B$2:$B$1561,"&gt;"&amp;B1464)+1</f>
        <v>98</v>
      </c>
      <c r="F1464" s="16" t="n">
        <f aca="false">IF(A1464=A1463,C1464-C1463,"")</f>
        <v>12.6799999999998</v>
      </c>
      <c r="G1464" s="16" t="n">
        <f aca="false">IF(A1464=A1463,IF(F1464&gt;0,F1464,0),"")</f>
        <v>12.6799999999998</v>
      </c>
      <c r="H1464" s="16" t="n">
        <f aca="false">IF(A1464=A1463,IF(F1464&lt;0,-F1464,0),"")</f>
        <v>0</v>
      </c>
    </row>
    <row r="1465" customFormat="false" ht="15" hidden="false" customHeight="false" outlineLevel="0" collapsed="false">
      <c r="A1465" s="14" t="s">
        <v>105</v>
      </c>
      <c r="B1465" s="15" t="n">
        <v>46101</v>
      </c>
      <c r="C1465" s="14" t="n">
        <v>1672.22</v>
      </c>
      <c r="D1465" s="14" t="n">
        <v>1106109</v>
      </c>
      <c r="E1465" s="16" t="n">
        <f aca="false">COUNTIFS($A$2:$A$1561,A1465,$B$2:$B$1561,"&gt;"&amp;B1465)+1</f>
        <v>97</v>
      </c>
      <c r="F1465" s="16" t="n">
        <f aca="false">IF(A1465=A1464,C1465-C1464,"")</f>
        <v>10.3900000000001</v>
      </c>
      <c r="G1465" s="16" t="n">
        <f aca="false">IF(A1465=A1464,IF(F1465&gt;0,F1465,0),"")</f>
        <v>10.3900000000001</v>
      </c>
      <c r="H1465" s="16" t="n">
        <f aca="false">IF(A1465=A1464,IF(F1465&lt;0,-F1465,0),"")</f>
        <v>0</v>
      </c>
    </row>
    <row r="1466" customFormat="false" ht="15" hidden="false" customHeight="false" outlineLevel="0" collapsed="false">
      <c r="A1466" s="14" t="s">
        <v>105</v>
      </c>
      <c r="B1466" s="15" t="n">
        <v>46104</v>
      </c>
      <c r="C1466" s="14" t="n">
        <v>1666.51</v>
      </c>
      <c r="D1466" s="14" t="n">
        <v>1483238</v>
      </c>
      <c r="E1466" s="16" t="n">
        <f aca="false">COUNTIFS($A$2:$A$1561,A1466,$B$2:$B$1561,"&gt;"&amp;B1466)+1</f>
        <v>96</v>
      </c>
      <c r="F1466" s="16" t="n">
        <f aca="false">IF(A1466=A1465,C1466-C1465,"")</f>
        <v>-5.71000000000004</v>
      </c>
      <c r="G1466" s="16" t="n">
        <f aca="false">IF(A1466=A1465,IF(F1466&gt;0,F1466,0),"")</f>
        <v>0</v>
      </c>
      <c r="H1466" s="16" t="n">
        <f aca="false">IF(A1466=A1465,IF(F1466&lt;0,-F1466,0),"")</f>
        <v>5.71000000000004</v>
      </c>
    </row>
    <row r="1467" customFormat="false" ht="15" hidden="false" customHeight="false" outlineLevel="0" collapsed="false">
      <c r="A1467" s="14" t="s">
        <v>105</v>
      </c>
      <c r="B1467" s="15" t="n">
        <v>46105</v>
      </c>
      <c r="C1467" s="14" t="n">
        <v>1673.29</v>
      </c>
      <c r="D1467" s="14" t="n">
        <v>696434</v>
      </c>
      <c r="E1467" s="16" t="n">
        <f aca="false">COUNTIFS($A$2:$A$1561,A1467,$B$2:$B$1561,"&gt;"&amp;B1467)+1</f>
        <v>95</v>
      </c>
      <c r="F1467" s="16" t="n">
        <f aca="false">IF(A1467=A1466,C1467-C1466,"")</f>
        <v>6.77999999999997</v>
      </c>
      <c r="G1467" s="16" t="n">
        <f aca="false">IF(A1467=A1466,IF(F1467&gt;0,F1467,0),"")</f>
        <v>6.77999999999997</v>
      </c>
      <c r="H1467" s="16" t="n">
        <f aca="false">IF(A1467=A1466,IF(F1467&lt;0,-F1467,0),"")</f>
        <v>0</v>
      </c>
    </row>
    <row r="1468" customFormat="false" ht="15" hidden="false" customHeight="false" outlineLevel="0" collapsed="false">
      <c r="A1468" s="14" t="s">
        <v>105</v>
      </c>
      <c r="B1468" s="15" t="n">
        <v>46106</v>
      </c>
      <c r="C1468" s="14" t="n">
        <v>1685.31</v>
      </c>
      <c r="D1468" s="14" t="n">
        <v>768771</v>
      </c>
      <c r="E1468" s="16" t="n">
        <f aca="false">COUNTIFS($A$2:$A$1561,A1468,$B$2:$B$1561,"&gt;"&amp;B1468)+1</f>
        <v>94</v>
      </c>
      <c r="F1468" s="16" t="n">
        <f aca="false">IF(A1468=A1467,C1468-C1467,"")</f>
        <v>12.02</v>
      </c>
      <c r="G1468" s="16" t="n">
        <f aca="false">IF(A1468=A1467,IF(F1468&gt;0,F1468,0),"")</f>
        <v>12.02</v>
      </c>
      <c r="H1468" s="16" t="n">
        <f aca="false">IF(A1468=A1467,IF(F1468&lt;0,-F1468,0),"")</f>
        <v>0</v>
      </c>
    </row>
    <row r="1469" customFormat="false" ht="15" hidden="false" customHeight="false" outlineLevel="0" collapsed="false">
      <c r="A1469" s="14" t="s">
        <v>105</v>
      </c>
      <c r="B1469" s="15" t="n">
        <v>46107</v>
      </c>
      <c r="C1469" s="14" t="n">
        <v>1700.61</v>
      </c>
      <c r="D1469" s="14" t="n">
        <v>1386221</v>
      </c>
      <c r="E1469" s="16" t="n">
        <f aca="false">COUNTIFS($A$2:$A$1561,A1469,$B$2:$B$1561,"&gt;"&amp;B1469)+1</f>
        <v>93</v>
      </c>
      <c r="F1469" s="16" t="n">
        <f aca="false">IF(A1469=A1468,C1469-C1468,"")</f>
        <v>15.3</v>
      </c>
      <c r="G1469" s="16" t="n">
        <f aca="false">IF(A1469=A1468,IF(F1469&gt;0,F1469,0),"")</f>
        <v>15.3</v>
      </c>
      <c r="H1469" s="16" t="n">
        <f aca="false">IF(A1469=A1468,IF(F1469&lt;0,-F1469,0),"")</f>
        <v>0</v>
      </c>
    </row>
    <row r="1470" customFormat="false" ht="15" hidden="false" customHeight="false" outlineLevel="0" collapsed="false">
      <c r="A1470" s="14" t="s">
        <v>105</v>
      </c>
      <c r="B1470" s="15" t="n">
        <v>46108</v>
      </c>
      <c r="C1470" s="14" t="n">
        <v>1711.5</v>
      </c>
      <c r="D1470" s="14" t="n">
        <v>1038839</v>
      </c>
      <c r="E1470" s="16" t="n">
        <f aca="false">COUNTIFS($A$2:$A$1561,A1470,$B$2:$B$1561,"&gt;"&amp;B1470)+1</f>
        <v>92</v>
      </c>
      <c r="F1470" s="16" t="n">
        <f aca="false">IF(A1470=A1469,C1470-C1469,"")</f>
        <v>10.8900000000001</v>
      </c>
      <c r="G1470" s="16" t="n">
        <f aca="false">IF(A1470=A1469,IF(F1470&gt;0,F1470,0),"")</f>
        <v>10.8900000000001</v>
      </c>
      <c r="H1470" s="16" t="n">
        <f aca="false">IF(A1470=A1469,IF(F1470&lt;0,-F1470,0),"")</f>
        <v>0</v>
      </c>
    </row>
    <row r="1471" customFormat="false" ht="15" hidden="false" customHeight="false" outlineLevel="0" collapsed="false">
      <c r="A1471" s="14" t="s">
        <v>105</v>
      </c>
      <c r="B1471" s="15" t="n">
        <v>46111</v>
      </c>
      <c r="C1471" s="14" t="n">
        <v>1709.86</v>
      </c>
      <c r="D1471" s="14" t="n">
        <v>1791109</v>
      </c>
      <c r="E1471" s="16" t="n">
        <f aca="false">COUNTIFS($A$2:$A$1561,A1471,$B$2:$B$1561,"&gt;"&amp;B1471)+1</f>
        <v>91</v>
      </c>
      <c r="F1471" s="16" t="n">
        <f aca="false">IF(A1471=A1470,C1471-C1470,"")</f>
        <v>-1.6400000000001</v>
      </c>
      <c r="G1471" s="16" t="n">
        <f aca="false">IF(A1471=A1470,IF(F1471&gt;0,F1471,0),"")</f>
        <v>0</v>
      </c>
      <c r="H1471" s="16" t="n">
        <f aca="false">IF(A1471=A1470,IF(F1471&lt;0,-F1471,0),"")</f>
        <v>1.6400000000001</v>
      </c>
    </row>
    <row r="1472" customFormat="false" ht="15" hidden="false" customHeight="false" outlineLevel="0" collapsed="false">
      <c r="A1472" s="14" t="s">
        <v>105</v>
      </c>
      <c r="B1472" s="15" t="n">
        <v>46112</v>
      </c>
      <c r="C1472" s="14" t="n">
        <v>1701.18</v>
      </c>
      <c r="D1472" s="14" t="n">
        <v>922781</v>
      </c>
      <c r="E1472" s="16" t="n">
        <f aca="false">COUNTIFS($A$2:$A$1561,A1472,$B$2:$B$1561,"&gt;"&amp;B1472)+1</f>
        <v>90</v>
      </c>
      <c r="F1472" s="16" t="n">
        <f aca="false">IF(A1472=A1471,C1472-C1471,"")</f>
        <v>-8.67999999999984</v>
      </c>
      <c r="G1472" s="16" t="n">
        <f aca="false">IF(A1472=A1471,IF(F1472&gt;0,F1472,0),"")</f>
        <v>0</v>
      </c>
      <c r="H1472" s="16" t="n">
        <f aca="false">IF(A1472=A1471,IF(F1472&lt;0,-F1472,0),"")</f>
        <v>8.67999999999984</v>
      </c>
    </row>
    <row r="1473" customFormat="false" ht="15" hidden="false" customHeight="false" outlineLevel="0" collapsed="false">
      <c r="A1473" s="14" t="s">
        <v>105</v>
      </c>
      <c r="B1473" s="15" t="n">
        <v>46113</v>
      </c>
      <c r="C1473" s="14" t="n">
        <v>1712.02</v>
      </c>
      <c r="D1473" s="14" t="n">
        <v>1981889</v>
      </c>
      <c r="E1473" s="16" t="n">
        <f aca="false">COUNTIFS($A$2:$A$1561,A1473,$B$2:$B$1561,"&gt;"&amp;B1473)+1</f>
        <v>89</v>
      </c>
      <c r="F1473" s="16" t="n">
        <f aca="false">IF(A1473=A1472,C1473-C1472,"")</f>
        <v>10.8399999999999</v>
      </c>
      <c r="G1473" s="16" t="n">
        <f aca="false">IF(A1473=A1472,IF(F1473&gt;0,F1473,0),"")</f>
        <v>10.8399999999999</v>
      </c>
      <c r="H1473" s="16" t="n">
        <f aca="false">IF(A1473=A1472,IF(F1473&lt;0,-F1473,0),"")</f>
        <v>0</v>
      </c>
    </row>
    <row r="1474" customFormat="false" ht="15" hidden="false" customHeight="false" outlineLevel="0" collapsed="false">
      <c r="A1474" s="14" t="s">
        <v>105</v>
      </c>
      <c r="B1474" s="15" t="n">
        <v>46114</v>
      </c>
      <c r="C1474" s="14" t="n">
        <v>1720.94</v>
      </c>
      <c r="D1474" s="14" t="n">
        <v>2234377</v>
      </c>
      <c r="E1474" s="16" t="n">
        <f aca="false">COUNTIFS($A$2:$A$1561,A1474,$B$2:$B$1561,"&gt;"&amp;B1474)+1</f>
        <v>88</v>
      </c>
      <c r="F1474" s="16" t="n">
        <f aca="false">IF(A1474=A1473,C1474-C1473,"")</f>
        <v>8.92000000000007</v>
      </c>
      <c r="G1474" s="16" t="n">
        <f aca="false">IF(A1474=A1473,IF(F1474&gt;0,F1474,0),"")</f>
        <v>8.92000000000007</v>
      </c>
      <c r="H1474" s="16" t="n">
        <f aca="false">IF(A1474=A1473,IF(F1474&lt;0,-F1474,0),"")</f>
        <v>0</v>
      </c>
    </row>
    <row r="1475" customFormat="false" ht="15" hidden="false" customHeight="false" outlineLevel="0" collapsed="false">
      <c r="A1475" s="14" t="s">
        <v>105</v>
      </c>
      <c r="B1475" s="15" t="n">
        <v>46115</v>
      </c>
      <c r="C1475" s="14" t="n">
        <v>1731.81</v>
      </c>
      <c r="D1475" s="14" t="n">
        <v>1530539</v>
      </c>
      <c r="E1475" s="16" t="n">
        <f aca="false">COUNTIFS($A$2:$A$1561,A1475,$B$2:$B$1561,"&gt;"&amp;B1475)+1</f>
        <v>87</v>
      </c>
      <c r="F1475" s="16" t="n">
        <f aca="false">IF(A1475=A1474,C1475-C1474,"")</f>
        <v>10.8699999999999</v>
      </c>
      <c r="G1475" s="16" t="n">
        <f aca="false">IF(A1475=A1474,IF(F1475&gt;0,F1475,0),"")</f>
        <v>10.8699999999999</v>
      </c>
      <c r="H1475" s="16" t="n">
        <f aca="false">IF(A1475=A1474,IF(F1475&lt;0,-F1475,0),"")</f>
        <v>0</v>
      </c>
    </row>
    <row r="1476" customFormat="false" ht="15" hidden="false" customHeight="false" outlineLevel="0" collapsed="false">
      <c r="A1476" s="14" t="s">
        <v>105</v>
      </c>
      <c r="B1476" s="15" t="n">
        <v>46118</v>
      </c>
      <c r="C1476" s="14" t="n">
        <v>1722.11</v>
      </c>
      <c r="D1476" s="14" t="n">
        <v>1122246</v>
      </c>
      <c r="E1476" s="16" t="n">
        <f aca="false">COUNTIFS($A$2:$A$1561,A1476,$B$2:$B$1561,"&gt;"&amp;B1476)+1</f>
        <v>86</v>
      </c>
      <c r="F1476" s="16" t="n">
        <f aca="false">IF(A1476=A1475,C1476-C1475,"")</f>
        <v>-9.70000000000005</v>
      </c>
      <c r="G1476" s="16" t="n">
        <f aca="false">IF(A1476=A1475,IF(F1476&gt;0,F1476,0),"")</f>
        <v>0</v>
      </c>
      <c r="H1476" s="16" t="n">
        <f aca="false">IF(A1476=A1475,IF(F1476&lt;0,-F1476,0),"")</f>
        <v>9.70000000000005</v>
      </c>
    </row>
    <row r="1477" customFormat="false" ht="15" hidden="false" customHeight="false" outlineLevel="0" collapsed="false">
      <c r="A1477" s="14" t="s">
        <v>105</v>
      </c>
      <c r="B1477" s="15" t="n">
        <v>46119</v>
      </c>
      <c r="C1477" s="14" t="n">
        <v>1723.25</v>
      </c>
      <c r="D1477" s="14" t="n">
        <v>771299</v>
      </c>
      <c r="E1477" s="16" t="n">
        <f aca="false">COUNTIFS($A$2:$A$1561,A1477,$B$2:$B$1561,"&gt;"&amp;B1477)+1</f>
        <v>85</v>
      </c>
      <c r="F1477" s="16" t="n">
        <f aca="false">IF(A1477=A1476,C1477-C1476,"")</f>
        <v>1.1400000000001</v>
      </c>
      <c r="G1477" s="16" t="n">
        <f aca="false">IF(A1477=A1476,IF(F1477&gt;0,F1477,0),"")</f>
        <v>1.1400000000001</v>
      </c>
      <c r="H1477" s="16" t="n">
        <f aca="false">IF(A1477=A1476,IF(F1477&lt;0,-F1477,0),"")</f>
        <v>0</v>
      </c>
    </row>
    <row r="1478" customFormat="false" ht="15" hidden="false" customHeight="false" outlineLevel="0" collapsed="false">
      <c r="A1478" s="14" t="s">
        <v>105</v>
      </c>
      <c r="B1478" s="15" t="n">
        <v>46120</v>
      </c>
      <c r="C1478" s="14" t="n">
        <v>1735.08</v>
      </c>
      <c r="D1478" s="14" t="n">
        <v>2258665</v>
      </c>
      <c r="E1478" s="16" t="n">
        <f aca="false">COUNTIFS($A$2:$A$1561,A1478,$B$2:$B$1561,"&gt;"&amp;B1478)+1</f>
        <v>84</v>
      </c>
      <c r="F1478" s="16" t="n">
        <f aca="false">IF(A1478=A1477,C1478-C1477,"")</f>
        <v>11.8299999999999</v>
      </c>
      <c r="G1478" s="16" t="n">
        <f aca="false">IF(A1478=A1477,IF(F1478&gt;0,F1478,0),"")</f>
        <v>11.8299999999999</v>
      </c>
      <c r="H1478" s="16" t="n">
        <f aca="false">IF(A1478=A1477,IF(F1478&lt;0,-F1478,0),"")</f>
        <v>0</v>
      </c>
    </row>
    <row r="1479" customFormat="false" ht="15" hidden="false" customHeight="false" outlineLevel="0" collapsed="false">
      <c r="A1479" s="14" t="s">
        <v>105</v>
      </c>
      <c r="B1479" s="15" t="n">
        <v>46121</v>
      </c>
      <c r="C1479" s="14" t="n">
        <v>1721.31</v>
      </c>
      <c r="D1479" s="14" t="n">
        <v>885526</v>
      </c>
      <c r="E1479" s="16" t="n">
        <f aca="false">COUNTIFS($A$2:$A$1561,A1479,$B$2:$B$1561,"&gt;"&amp;B1479)+1</f>
        <v>83</v>
      </c>
      <c r="F1479" s="16" t="n">
        <f aca="false">IF(A1479=A1478,C1479-C1478,"")</f>
        <v>-13.77</v>
      </c>
      <c r="G1479" s="16" t="n">
        <f aca="false">IF(A1479=A1478,IF(F1479&gt;0,F1479,0),"")</f>
        <v>0</v>
      </c>
      <c r="H1479" s="16" t="n">
        <f aca="false">IF(A1479=A1478,IF(F1479&lt;0,-F1479,0),"")</f>
        <v>13.77</v>
      </c>
    </row>
    <row r="1480" customFormat="false" ht="15" hidden="false" customHeight="false" outlineLevel="0" collapsed="false">
      <c r="A1480" s="14" t="s">
        <v>105</v>
      </c>
      <c r="B1480" s="15" t="n">
        <v>46122</v>
      </c>
      <c r="C1480" s="14" t="n">
        <v>1732.55</v>
      </c>
      <c r="D1480" s="14" t="n">
        <v>2173953</v>
      </c>
      <c r="E1480" s="16" t="n">
        <f aca="false">COUNTIFS($A$2:$A$1561,A1480,$B$2:$B$1561,"&gt;"&amp;B1480)+1</f>
        <v>82</v>
      </c>
      <c r="F1480" s="16" t="n">
        <f aca="false">IF(A1480=A1479,C1480-C1479,"")</f>
        <v>11.24</v>
      </c>
      <c r="G1480" s="16" t="n">
        <f aca="false">IF(A1480=A1479,IF(F1480&gt;0,F1480,0),"")</f>
        <v>11.24</v>
      </c>
      <c r="H1480" s="16" t="n">
        <f aca="false">IF(A1480=A1479,IF(F1480&lt;0,-F1480,0),"")</f>
        <v>0</v>
      </c>
    </row>
    <row r="1481" customFormat="false" ht="15" hidden="false" customHeight="false" outlineLevel="0" collapsed="false">
      <c r="A1481" s="14" t="s">
        <v>105</v>
      </c>
      <c r="B1481" s="15" t="n">
        <v>46125</v>
      </c>
      <c r="C1481" s="14" t="n">
        <v>1725.68</v>
      </c>
      <c r="D1481" s="14" t="n">
        <v>1412897</v>
      </c>
      <c r="E1481" s="16" t="n">
        <f aca="false">COUNTIFS($A$2:$A$1561,A1481,$B$2:$B$1561,"&gt;"&amp;B1481)+1</f>
        <v>81</v>
      </c>
      <c r="F1481" s="16" t="n">
        <f aca="false">IF(A1481=A1480,C1481-C1480,"")</f>
        <v>-6.86999999999989</v>
      </c>
      <c r="G1481" s="16" t="n">
        <f aca="false">IF(A1481=A1480,IF(F1481&gt;0,F1481,0),"")</f>
        <v>0</v>
      </c>
      <c r="H1481" s="16" t="n">
        <f aca="false">IF(A1481=A1480,IF(F1481&lt;0,-F1481,0),"")</f>
        <v>6.86999999999989</v>
      </c>
    </row>
    <row r="1482" customFormat="false" ht="15" hidden="false" customHeight="false" outlineLevel="0" collapsed="false">
      <c r="A1482" s="14" t="s">
        <v>105</v>
      </c>
      <c r="B1482" s="15" t="n">
        <v>46126</v>
      </c>
      <c r="C1482" s="14" t="n">
        <v>1739.59</v>
      </c>
      <c r="D1482" s="14" t="n">
        <v>1909267</v>
      </c>
      <c r="E1482" s="16" t="n">
        <f aca="false">COUNTIFS($A$2:$A$1561,A1482,$B$2:$B$1561,"&gt;"&amp;B1482)+1</f>
        <v>80</v>
      </c>
      <c r="F1482" s="16" t="n">
        <f aca="false">IF(A1482=A1481,C1482-C1481,"")</f>
        <v>13.9099999999999</v>
      </c>
      <c r="G1482" s="16" t="n">
        <f aca="false">IF(A1482=A1481,IF(F1482&gt;0,F1482,0),"")</f>
        <v>13.9099999999999</v>
      </c>
      <c r="H1482" s="16" t="n">
        <f aca="false">IF(A1482=A1481,IF(F1482&lt;0,-F1482,0),"")</f>
        <v>0</v>
      </c>
    </row>
    <row r="1483" customFormat="false" ht="15" hidden="false" customHeight="false" outlineLevel="0" collapsed="false">
      <c r="A1483" s="14" t="s">
        <v>105</v>
      </c>
      <c r="B1483" s="15" t="n">
        <v>46127</v>
      </c>
      <c r="C1483" s="14" t="n">
        <v>1733.45</v>
      </c>
      <c r="D1483" s="14" t="n">
        <v>2147012</v>
      </c>
      <c r="E1483" s="16" t="n">
        <f aca="false">COUNTIFS($A$2:$A$1561,A1483,$B$2:$B$1561,"&gt;"&amp;B1483)+1</f>
        <v>79</v>
      </c>
      <c r="F1483" s="16" t="n">
        <f aca="false">IF(A1483=A1482,C1483-C1482,"")</f>
        <v>-6.13999999999987</v>
      </c>
      <c r="G1483" s="16" t="n">
        <f aca="false">IF(A1483=A1482,IF(F1483&gt;0,F1483,0),"")</f>
        <v>0</v>
      </c>
      <c r="H1483" s="16" t="n">
        <f aca="false">IF(A1483=A1482,IF(F1483&lt;0,-F1483,0),"")</f>
        <v>6.13999999999987</v>
      </c>
    </row>
    <row r="1484" customFormat="false" ht="15" hidden="false" customHeight="false" outlineLevel="0" collapsed="false">
      <c r="A1484" s="14" t="s">
        <v>105</v>
      </c>
      <c r="B1484" s="15" t="n">
        <v>46128</v>
      </c>
      <c r="C1484" s="14" t="n">
        <v>1734.55</v>
      </c>
      <c r="D1484" s="14" t="n">
        <v>1770819</v>
      </c>
      <c r="E1484" s="16" t="n">
        <f aca="false">COUNTIFS($A$2:$A$1561,A1484,$B$2:$B$1561,"&gt;"&amp;B1484)+1</f>
        <v>78</v>
      </c>
      <c r="F1484" s="16" t="n">
        <f aca="false">IF(A1484=A1483,C1484-C1483,"")</f>
        <v>1.09999999999991</v>
      </c>
      <c r="G1484" s="16" t="n">
        <f aca="false">IF(A1484=A1483,IF(F1484&gt;0,F1484,0),"")</f>
        <v>1.09999999999991</v>
      </c>
      <c r="H1484" s="16" t="n">
        <f aca="false">IF(A1484=A1483,IF(F1484&lt;0,-F1484,0),"")</f>
        <v>0</v>
      </c>
    </row>
    <row r="1485" customFormat="false" ht="15" hidden="false" customHeight="false" outlineLevel="0" collapsed="false">
      <c r="A1485" s="14" t="s">
        <v>105</v>
      </c>
      <c r="B1485" s="15" t="n">
        <v>46129</v>
      </c>
      <c r="C1485" s="14" t="n">
        <v>1723.74</v>
      </c>
      <c r="D1485" s="14" t="n">
        <v>561126</v>
      </c>
      <c r="E1485" s="16" t="n">
        <f aca="false">COUNTIFS($A$2:$A$1561,A1485,$B$2:$B$1561,"&gt;"&amp;B1485)+1</f>
        <v>77</v>
      </c>
      <c r="F1485" s="16" t="n">
        <f aca="false">IF(A1485=A1484,C1485-C1484,"")</f>
        <v>-10.8099999999999</v>
      </c>
      <c r="G1485" s="16" t="n">
        <f aca="false">IF(A1485=A1484,IF(F1485&gt;0,F1485,0),"")</f>
        <v>0</v>
      </c>
      <c r="H1485" s="16" t="n">
        <f aca="false">IF(A1485=A1484,IF(F1485&lt;0,-F1485,0),"")</f>
        <v>10.8099999999999</v>
      </c>
    </row>
    <row r="1486" customFormat="false" ht="15" hidden="false" customHeight="false" outlineLevel="0" collapsed="false">
      <c r="A1486" s="14" t="s">
        <v>105</v>
      </c>
      <c r="B1486" s="15" t="n">
        <v>46132</v>
      </c>
      <c r="C1486" s="14" t="n">
        <v>1720.72</v>
      </c>
      <c r="D1486" s="14" t="n">
        <v>1688087</v>
      </c>
      <c r="E1486" s="16" t="n">
        <f aca="false">COUNTIFS($A$2:$A$1561,A1486,$B$2:$B$1561,"&gt;"&amp;B1486)+1</f>
        <v>76</v>
      </c>
      <c r="F1486" s="16" t="n">
        <f aca="false">IF(A1486=A1485,C1486-C1485,"")</f>
        <v>-3.01999999999998</v>
      </c>
      <c r="G1486" s="16" t="n">
        <f aca="false">IF(A1486=A1485,IF(F1486&gt;0,F1486,0),"")</f>
        <v>0</v>
      </c>
      <c r="H1486" s="16" t="n">
        <f aca="false">IF(A1486=A1485,IF(F1486&lt;0,-F1486,0),"")</f>
        <v>3.01999999999998</v>
      </c>
    </row>
    <row r="1487" customFormat="false" ht="15" hidden="false" customHeight="false" outlineLevel="0" collapsed="false">
      <c r="A1487" s="14" t="s">
        <v>105</v>
      </c>
      <c r="B1487" s="15" t="n">
        <v>46133</v>
      </c>
      <c r="C1487" s="14" t="n">
        <v>1711.66</v>
      </c>
      <c r="D1487" s="14" t="n">
        <v>2240961</v>
      </c>
      <c r="E1487" s="16" t="n">
        <f aca="false">COUNTIFS($A$2:$A$1561,A1487,$B$2:$B$1561,"&gt;"&amp;B1487)+1</f>
        <v>75</v>
      </c>
      <c r="F1487" s="16" t="n">
        <f aca="false">IF(A1487=A1486,C1487-C1486,"")</f>
        <v>-9.05999999999995</v>
      </c>
      <c r="G1487" s="16" t="n">
        <f aca="false">IF(A1487=A1486,IF(F1487&gt;0,F1487,0),"")</f>
        <v>0</v>
      </c>
      <c r="H1487" s="16" t="n">
        <f aca="false">IF(A1487=A1486,IF(F1487&lt;0,-F1487,0),"")</f>
        <v>9.05999999999995</v>
      </c>
    </row>
    <row r="1488" customFormat="false" ht="15" hidden="false" customHeight="false" outlineLevel="0" collapsed="false">
      <c r="A1488" s="14" t="s">
        <v>105</v>
      </c>
      <c r="B1488" s="15" t="n">
        <v>46134</v>
      </c>
      <c r="C1488" s="14" t="n">
        <v>1715.26</v>
      </c>
      <c r="D1488" s="14" t="n">
        <v>1199519</v>
      </c>
      <c r="E1488" s="16" t="n">
        <f aca="false">COUNTIFS($A$2:$A$1561,A1488,$B$2:$B$1561,"&gt;"&amp;B1488)+1</f>
        <v>74</v>
      </c>
      <c r="F1488" s="16" t="n">
        <f aca="false">IF(A1488=A1487,C1488-C1487,"")</f>
        <v>3.59999999999991</v>
      </c>
      <c r="G1488" s="16" t="n">
        <f aca="false">IF(A1488=A1487,IF(F1488&gt;0,F1488,0),"")</f>
        <v>3.59999999999991</v>
      </c>
      <c r="H1488" s="16" t="n">
        <f aca="false">IF(A1488=A1487,IF(F1488&lt;0,-F1488,0),"")</f>
        <v>0</v>
      </c>
    </row>
    <row r="1489" customFormat="false" ht="15" hidden="false" customHeight="false" outlineLevel="0" collapsed="false">
      <c r="A1489" s="14" t="s">
        <v>105</v>
      </c>
      <c r="B1489" s="15" t="n">
        <v>46135</v>
      </c>
      <c r="C1489" s="14" t="n">
        <v>1705.8</v>
      </c>
      <c r="D1489" s="14" t="n">
        <v>2288983</v>
      </c>
      <c r="E1489" s="16" t="n">
        <f aca="false">COUNTIFS($A$2:$A$1561,A1489,$B$2:$B$1561,"&gt;"&amp;B1489)+1</f>
        <v>73</v>
      </c>
      <c r="F1489" s="16" t="n">
        <f aca="false">IF(A1489=A1488,C1489-C1488,"")</f>
        <v>-9.46000000000004</v>
      </c>
      <c r="G1489" s="16" t="n">
        <f aca="false">IF(A1489=A1488,IF(F1489&gt;0,F1489,0),"")</f>
        <v>0</v>
      </c>
      <c r="H1489" s="16" t="n">
        <f aca="false">IF(A1489=A1488,IF(F1489&lt;0,-F1489,0),"")</f>
        <v>9.46000000000004</v>
      </c>
    </row>
    <row r="1490" customFormat="false" ht="15" hidden="false" customHeight="false" outlineLevel="0" collapsed="false">
      <c r="A1490" s="14" t="s">
        <v>105</v>
      </c>
      <c r="B1490" s="15" t="n">
        <v>46136</v>
      </c>
      <c r="C1490" s="14" t="n">
        <v>1714.36</v>
      </c>
      <c r="D1490" s="14" t="n">
        <v>1877701</v>
      </c>
      <c r="E1490" s="16" t="n">
        <f aca="false">COUNTIFS($A$2:$A$1561,A1490,$B$2:$B$1561,"&gt;"&amp;B1490)+1</f>
        <v>72</v>
      </c>
      <c r="F1490" s="16" t="n">
        <f aca="false">IF(A1490=A1489,C1490-C1489,"")</f>
        <v>8.55999999999995</v>
      </c>
      <c r="G1490" s="16" t="n">
        <f aca="false">IF(A1490=A1489,IF(F1490&gt;0,F1490,0),"")</f>
        <v>8.55999999999995</v>
      </c>
      <c r="H1490" s="16" t="n">
        <f aca="false">IF(A1490=A1489,IF(F1490&lt;0,-F1490,0),"")</f>
        <v>0</v>
      </c>
    </row>
    <row r="1491" customFormat="false" ht="15" hidden="false" customHeight="false" outlineLevel="0" collapsed="false">
      <c r="A1491" s="14" t="s">
        <v>105</v>
      </c>
      <c r="B1491" s="15" t="n">
        <v>46139</v>
      </c>
      <c r="C1491" s="14" t="n">
        <v>1708.66</v>
      </c>
      <c r="D1491" s="14" t="n">
        <v>1273131</v>
      </c>
      <c r="E1491" s="16" t="n">
        <f aca="false">COUNTIFS($A$2:$A$1561,A1491,$B$2:$B$1561,"&gt;"&amp;B1491)+1</f>
        <v>71</v>
      </c>
      <c r="F1491" s="16" t="n">
        <f aca="false">IF(A1491=A1490,C1491-C1490,"")</f>
        <v>-5.69999999999982</v>
      </c>
      <c r="G1491" s="16" t="n">
        <f aca="false">IF(A1491=A1490,IF(F1491&gt;0,F1491,0),"")</f>
        <v>0</v>
      </c>
      <c r="H1491" s="16" t="n">
        <f aca="false">IF(A1491=A1490,IF(F1491&lt;0,-F1491,0),"")</f>
        <v>5.69999999999982</v>
      </c>
    </row>
    <row r="1492" customFormat="false" ht="15" hidden="false" customHeight="false" outlineLevel="0" collapsed="false">
      <c r="A1492" s="14" t="s">
        <v>105</v>
      </c>
      <c r="B1492" s="15" t="n">
        <v>46140</v>
      </c>
      <c r="C1492" s="14" t="n">
        <v>1699.21</v>
      </c>
      <c r="D1492" s="14" t="n">
        <v>1644516</v>
      </c>
      <c r="E1492" s="16" t="n">
        <f aca="false">COUNTIFS($A$2:$A$1561,A1492,$B$2:$B$1561,"&gt;"&amp;B1492)+1</f>
        <v>70</v>
      </c>
      <c r="F1492" s="16" t="n">
        <f aca="false">IF(A1492=A1491,C1492-C1491,"")</f>
        <v>-9.45000000000005</v>
      </c>
      <c r="G1492" s="16" t="n">
        <f aca="false">IF(A1492=A1491,IF(F1492&gt;0,F1492,0),"")</f>
        <v>0</v>
      </c>
      <c r="H1492" s="16" t="n">
        <f aca="false">IF(A1492=A1491,IF(F1492&lt;0,-F1492,0),"")</f>
        <v>9.45000000000005</v>
      </c>
    </row>
    <row r="1493" customFormat="false" ht="15" hidden="false" customHeight="false" outlineLevel="0" collapsed="false">
      <c r="A1493" s="14" t="s">
        <v>105</v>
      </c>
      <c r="B1493" s="15" t="n">
        <v>46141</v>
      </c>
      <c r="C1493" s="14" t="n">
        <v>1714.35</v>
      </c>
      <c r="D1493" s="14" t="n">
        <v>2214222</v>
      </c>
      <c r="E1493" s="16" t="n">
        <f aca="false">COUNTIFS($A$2:$A$1561,A1493,$B$2:$B$1561,"&gt;"&amp;B1493)+1</f>
        <v>69</v>
      </c>
      <c r="F1493" s="16" t="n">
        <f aca="false">IF(A1493=A1492,C1493-C1492,"")</f>
        <v>15.1399999999999</v>
      </c>
      <c r="G1493" s="16" t="n">
        <f aca="false">IF(A1493=A1492,IF(F1493&gt;0,F1493,0),"")</f>
        <v>15.1399999999999</v>
      </c>
      <c r="H1493" s="16" t="n">
        <f aca="false">IF(A1493=A1492,IF(F1493&lt;0,-F1493,0),"")</f>
        <v>0</v>
      </c>
    </row>
    <row r="1494" customFormat="false" ht="15" hidden="false" customHeight="false" outlineLevel="0" collapsed="false">
      <c r="A1494" s="14" t="s">
        <v>105</v>
      </c>
      <c r="B1494" s="15" t="n">
        <v>46142</v>
      </c>
      <c r="C1494" s="14" t="n">
        <v>1719.82</v>
      </c>
      <c r="D1494" s="14" t="n">
        <v>1855390</v>
      </c>
      <c r="E1494" s="16" t="n">
        <f aca="false">COUNTIFS($A$2:$A$1561,A1494,$B$2:$B$1561,"&gt;"&amp;B1494)+1</f>
        <v>68</v>
      </c>
      <c r="F1494" s="16" t="n">
        <f aca="false">IF(A1494=A1493,C1494-C1493,"")</f>
        <v>5.47000000000003</v>
      </c>
      <c r="G1494" s="16" t="n">
        <f aca="false">IF(A1494=A1493,IF(F1494&gt;0,F1494,0),"")</f>
        <v>5.47000000000003</v>
      </c>
      <c r="H1494" s="16" t="n">
        <f aca="false">IF(A1494=A1493,IF(F1494&lt;0,-F1494,0),"")</f>
        <v>0</v>
      </c>
    </row>
    <row r="1495" customFormat="false" ht="15" hidden="false" customHeight="false" outlineLevel="0" collapsed="false">
      <c r="A1495" s="14" t="s">
        <v>105</v>
      </c>
      <c r="B1495" s="15" t="n">
        <v>46143</v>
      </c>
      <c r="C1495" s="14" t="n">
        <v>1713.6</v>
      </c>
      <c r="D1495" s="14" t="n">
        <v>1319014</v>
      </c>
      <c r="E1495" s="16" t="n">
        <f aca="false">COUNTIFS($A$2:$A$1561,A1495,$B$2:$B$1561,"&gt;"&amp;B1495)+1</f>
        <v>67</v>
      </c>
      <c r="F1495" s="16" t="n">
        <f aca="false">IF(A1495=A1494,C1495-C1494,"")</f>
        <v>-6.22000000000003</v>
      </c>
      <c r="G1495" s="16" t="n">
        <f aca="false">IF(A1495=A1494,IF(F1495&gt;0,F1495,0),"")</f>
        <v>0</v>
      </c>
      <c r="H1495" s="16" t="n">
        <f aca="false">IF(A1495=A1494,IF(F1495&lt;0,-F1495,0),"")</f>
        <v>6.22000000000003</v>
      </c>
    </row>
    <row r="1496" customFormat="false" ht="15" hidden="false" customHeight="false" outlineLevel="0" collapsed="false">
      <c r="A1496" s="14" t="s">
        <v>105</v>
      </c>
      <c r="B1496" s="15" t="n">
        <v>46146</v>
      </c>
      <c r="C1496" s="14" t="n">
        <v>1699.73</v>
      </c>
      <c r="D1496" s="14" t="n">
        <v>2060607</v>
      </c>
      <c r="E1496" s="16" t="n">
        <f aca="false">COUNTIFS($A$2:$A$1561,A1496,$B$2:$B$1561,"&gt;"&amp;B1496)+1</f>
        <v>66</v>
      </c>
      <c r="F1496" s="16" t="n">
        <f aca="false">IF(A1496=A1495,C1496-C1495,"")</f>
        <v>-13.8699999999999</v>
      </c>
      <c r="G1496" s="16" t="n">
        <f aca="false">IF(A1496=A1495,IF(F1496&gt;0,F1496,0),"")</f>
        <v>0</v>
      </c>
      <c r="H1496" s="16" t="n">
        <f aca="false">IF(A1496=A1495,IF(F1496&lt;0,-F1496,0),"")</f>
        <v>13.8699999999999</v>
      </c>
    </row>
    <row r="1497" customFormat="false" ht="15" hidden="false" customHeight="false" outlineLevel="0" collapsed="false">
      <c r="A1497" s="14" t="s">
        <v>105</v>
      </c>
      <c r="B1497" s="15" t="n">
        <v>46147</v>
      </c>
      <c r="C1497" s="14" t="n">
        <v>1708.83</v>
      </c>
      <c r="D1497" s="14" t="n">
        <v>517795</v>
      </c>
      <c r="E1497" s="16" t="n">
        <f aca="false">COUNTIFS($A$2:$A$1561,A1497,$B$2:$B$1561,"&gt;"&amp;B1497)+1</f>
        <v>65</v>
      </c>
      <c r="F1497" s="16" t="n">
        <f aca="false">IF(A1497=A1496,C1497-C1496,"")</f>
        <v>9.09999999999991</v>
      </c>
      <c r="G1497" s="16" t="n">
        <f aca="false">IF(A1497=A1496,IF(F1497&gt;0,F1497,0),"")</f>
        <v>9.09999999999991</v>
      </c>
      <c r="H1497" s="16" t="n">
        <f aca="false">IF(A1497=A1496,IF(F1497&lt;0,-F1497,0),"")</f>
        <v>0</v>
      </c>
    </row>
    <row r="1498" customFormat="false" ht="15" hidden="false" customHeight="false" outlineLevel="0" collapsed="false">
      <c r="A1498" s="14" t="s">
        <v>105</v>
      </c>
      <c r="B1498" s="15" t="n">
        <v>46148</v>
      </c>
      <c r="C1498" s="14" t="n">
        <v>1722.41</v>
      </c>
      <c r="D1498" s="14" t="n">
        <v>1794743</v>
      </c>
      <c r="E1498" s="16" t="n">
        <f aca="false">COUNTIFS($A$2:$A$1561,A1498,$B$2:$B$1561,"&gt;"&amp;B1498)+1</f>
        <v>64</v>
      </c>
      <c r="F1498" s="16" t="n">
        <f aca="false">IF(A1498=A1497,C1498-C1497,"")</f>
        <v>13.5800000000002</v>
      </c>
      <c r="G1498" s="16" t="n">
        <f aca="false">IF(A1498=A1497,IF(F1498&gt;0,F1498,0),"")</f>
        <v>13.5800000000002</v>
      </c>
      <c r="H1498" s="16" t="n">
        <f aca="false">IF(A1498=A1497,IF(F1498&lt;0,-F1498,0),"")</f>
        <v>0</v>
      </c>
    </row>
    <row r="1499" customFormat="false" ht="15" hidden="false" customHeight="false" outlineLevel="0" collapsed="false">
      <c r="A1499" s="14" t="s">
        <v>105</v>
      </c>
      <c r="B1499" s="15" t="n">
        <v>46149</v>
      </c>
      <c r="C1499" s="14" t="n">
        <v>1726.48</v>
      </c>
      <c r="D1499" s="14" t="n">
        <v>516927</v>
      </c>
      <c r="E1499" s="16" t="n">
        <f aca="false">COUNTIFS($A$2:$A$1561,A1499,$B$2:$B$1561,"&gt;"&amp;B1499)+1</f>
        <v>63</v>
      </c>
      <c r="F1499" s="16" t="n">
        <f aca="false">IF(A1499=A1498,C1499-C1498,"")</f>
        <v>4.06999999999994</v>
      </c>
      <c r="G1499" s="16" t="n">
        <f aca="false">IF(A1499=A1498,IF(F1499&gt;0,F1499,0),"")</f>
        <v>4.06999999999994</v>
      </c>
      <c r="H1499" s="16" t="n">
        <f aca="false">IF(A1499=A1498,IF(F1499&lt;0,-F1499,0),"")</f>
        <v>0</v>
      </c>
    </row>
    <row r="1500" customFormat="false" ht="15" hidden="false" customHeight="false" outlineLevel="0" collapsed="false">
      <c r="A1500" s="14" t="s">
        <v>105</v>
      </c>
      <c r="B1500" s="15" t="n">
        <v>46150</v>
      </c>
      <c r="C1500" s="14" t="n">
        <v>1719.71</v>
      </c>
      <c r="D1500" s="14" t="n">
        <v>2110171</v>
      </c>
      <c r="E1500" s="16" t="n">
        <f aca="false">COUNTIFS($A$2:$A$1561,A1500,$B$2:$B$1561,"&gt;"&amp;B1500)+1</f>
        <v>62</v>
      </c>
      <c r="F1500" s="16" t="n">
        <f aca="false">IF(A1500=A1499,C1500-C1499,"")</f>
        <v>-6.76999999999998</v>
      </c>
      <c r="G1500" s="16" t="n">
        <f aca="false">IF(A1500=A1499,IF(F1500&gt;0,F1500,0),"")</f>
        <v>0</v>
      </c>
      <c r="H1500" s="16" t="n">
        <f aca="false">IF(A1500=A1499,IF(F1500&lt;0,-F1500,0),"")</f>
        <v>6.76999999999998</v>
      </c>
    </row>
    <row r="1501" customFormat="false" ht="15" hidden="false" customHeight="false" outlineLevel="0" collapsed="false">
      <c r="A1501" s="14" t="s">
        <v>105</v>
      </c>
      <c r="B1501" s="15" t="n">
        <v>46153</v>
      </c>
      <c r="C1501" s="14" t="n">
        <v>1714.62</v>
      </c>
      <c r="D1501" s="14" t="n">
        <v>2434048</v>
      </c>
      <c r="E1501" s="16" t="n">
        <f aca="false">COUNTIFS($A$2:$A$1561,A1501,$B$2:$B$1561,"&gt;"&amp;B1501)+1</f>
        <v>61</v>
      </c>
      <c r="F1501" s="16" t="n">
        <f aca="false">IF(A1501=A1500,C1501-C1500,"")</f>
        <v>-5.09000000000015</v>
      </c>
      <c r="G1501" s="16" t="n">
        <f aca="false">IF(A1501=A1500,IF(F1501&gt;0,F1501,0),"")</f>
        <v>0</v>
      </c>
      <c r="H1501" s="16" t="n">
        <f aca="false">IF(A1501=A1500,IF(F1501&lt;0,-F1501,0),"")</f>
        <v>5.09000000000015</v>
      </c>
    </row>
    <row r="1502" customFormat="false" ht="15" hidden="false" customHeight="false" outlineLevel="0" collapsed="false">
      <c r="A1502" s="14" t="s">
        <v>105</v>
      </c>
      <c r="B1502" s="15" t="n">
        <v>46154</v>
      </c>
      <c r="C1502" s="14" t="n">
        <v>1719.95</v>
      </c>
      <c r="D1502" s="14" t="n">
        <v>1347613</v>
      </c>
      <c r="E1502" s="16" t="n">
        <f aca="false">COUNTIFS($A$2:$A$1561,A1502,$B$2:$B$1561,"&gt;"&amp;B1502)+1</f>
        <v>60</v>
      </c>
      <c r="F1502" s="16" t="n">
        <f aca="false">IF(A1502=A1501,C1502-C1501,"")</f>
        <v>5.33000000000016</v>
      </c>
      <c r="G1502" s="16" t="n">
        <f aca="false">IF(A1502=A1501,IF(F1502&gt;0,F1502,0),"")</f>
        <v>5.33000000000016</v>
      </c>
      <c r="H1502" s="16" t="n">
        <f aca="false">IF(A1502=A1501,IF(F1502&lt;0,-F1502,0),"")</f>
        <v>0</v>
      </c>
    </row>
    <row r="1503" customFormat="false" ht="15" hidden="false" customHeight="false" outlineLevel="0" collapsed="false">
      <c r="A1503" s="14" t="s">
        <v>105</v>
      </c>
      <c r="B1503" s="15" t="n">
        <v>46155</v>
      </c>
      <c r="C1503" s="14" t="n">
        <v>1717.06</v>
      </c>
      <c r="D1503" s="14" t="n">
        <v>1197418</v>
      </c>
      <c r="E1503" s="16" t="n">
        <f aca="false">COUNTIFS($A$2:$A$1561,A1503,$B$2:$B$1561,"&gt;"&amp;B1503)+1</f>
        <v>59</v>
      </c>
      <c r="F1503" s="16" t="n">
        <f aca="false">IF(A1503=A1502,C1503-C1502,"")</f>
        <v>-2.8900000000001</v>
      </c>
      <c r="G1503" s="16" t="n">
        <f aca="false">IF(A1503=A1502,IF(F1503&gt;0,F1503,0),"")</f>
        <v>0</v>
      </c>
      <c r="H1503" s="16" t="n">
        <f aca="false">IF(A1503=A1502,IF(F1503&lt;0,-F1503,0),"")</f>
        <v>2.8900000000001</v>
      </c>
    </row>
    <row r="1504" customFormat="false" ht="15" hidden="false" customHeight="false" outlineLevel="0" collapsed="false">
      <c r="A1504" s="14" t="s">
        <v>105</v>
      </c>
      <c r="B1504" s="15" t="n">
        <v>46156</v>
      </c>
      <c r="C1504" s="14" t="n">
        <v>1710.32</v>
      </c>
      <c r="D1504" s="14" t="n">
        <v>1433396</v>
      </c>
      <c r="E1504" s="16" t="n">
        <f aca="false">COUNTIFS($A$2:$A$1561,A1504,$B$2:$B$1561,"&gt;"&amp;B1504)+1</f>
        <v>58</v>
      </c>
      <c r="F1504" s="16" t="n">
        <f aca="false">IF(A1504=A1503,C1504-C1503,"")</f>
        <v>-6.74000000000001</v>
      </c>
      <c r="G1504" s="16" t="n">
        <f aca="false">IF(A1504=A1503,IF(F1504&gt;0,F1504,0),"")</f>
        <v>0</v>
      </c>
      <c r="H1504" s="16" t="n">
        <f aca="false">IF(A1504=A1503,IF(F1504&lt;0,-F1504,0),"")</f>
        <v>6.74000000000001</v>
      </c>
    </row>
    <row r="1505" customFormat="false" ht="15" hidden="false" customHeight="false" outlineLevel="0" collapsed="false">
      <c r="A1505" s="14" t="s">
        <v>105</v>
      </c>
      <c r="B1505" s="15" t="n">
        <v>46157</v>
      </c>
      <c r="C1505" s="14" t="n">
        <v>1716.7</v>
      </c>
      <c r="D1505" s="14" t="n">
        <v>2148621</v>
      </c>
      <c r="E1505" s="16" t="n">
        <f aca="false">COUNTIFS($A$2:$A$1561,A1505,$B$2:$B$1561,"&gt;"&amp;B1505)+1</f>
        <v>57</v>
      </c>
      <c r="F1505" s="16" t="n">
        <f aca="false">IF(A1505=A1504,C1505-C1504,"")</f>
        <v>6.38000000000011</v>
      </c>
      <c r="G1505" s="16" t="n">
        <f aca="false">IF(A1505=A1504,IF(F1505&gt;0,F1505,0),"")</f>
        <v>6.38000000000011</v>
      </c>
      <c r="H1505" s="16" t="n">
        <f aca="false">IF(A1505=A1504,IF(F1505&lt;0,-F1505,0),"")</f>
        <v>0</v>
      </c>
    </row>
    <row r="1506" customFormat="false" ht="15" hidden="false" customHeight="false" outlineLevel="0" collapsed="false">
      <c r="A1506" s="14" t="s">
        <v>105</v>
      </c>
      <c r="B1506" s="15" t="n">
        <v>46160</v>
      </c>
      <c r="C1506" s="14" t="n">
        <v>1714.45</v>
      </c>
      <c r="D1506" s="14" t="n">
        <v>704624</v>
      </c>
      <c r="E1506" s="16" t="n">
        <f aca="false">COUNTIFS($A$2:$A$1561,A1506,$B$2:$B$1561,"&gt;"&amp;B1506)+1</f>
        <v>56</v>
      </c>
      <c r="F1506" s="16" t="n">
        <f aca="false">IF(A1506=A1505,C1506-C1505,"")</f>
        <v>-2.25</v>
      </c>
      <c r="G1506" s="16" t="n">
        <f aca="false">IF(A1506=A1505,IF(F1506&gt;0,F1506,0),"")</f>
        <v>0</v>
      </c>
      <c r="H1506" s="16" t="n">
        <f aca="false">IF(A1506=A1505,IF(F1506&lt;0,-F1506,0),"")</f>
        <v>2.25</v>
      </c>
    </row>
    <row r="1507" customFormat="false" ht="15" hidden="false" customHeight="false" outlineLevel="0" collapsed="false">
      <c r="A1507" s="14" t="s">
        <v>105</v>
      </c>
      <c r="B1507" s="15" t="n">
        <v>46161</v>
      </c>
      <c r="C1507" s="14" t="n">
        <v>1715.73</v>
      </c>
      <c r="D1507" s="14" t="n">
        <v>1824710</v>
      </c>
      <c r="E1507" s="16" t="n">
        <f aca="false">COUNTIFS($A$2:$A$1561,A1507,$B$2:$B$1561,"&gt;"&amp;B1507)+1</f>
        <v>55</v>
      </c>
      <c r="F1507" s="16" t="n">
        <f aca="false">IF(A1507=A1506,C1507-C1506,"")</f>
        <v>1.27999999999997</v>
      </c>
      <c r="G1507" s="16" t="n">
        <f aca="false">IF(A1507=A1506,IF(F1507&gt;0,F1507,0),"")</f>
        <v>1.27999999999997</v>
      </c>
      <c r="H1507" s="16" t="n">
        <f aca="false">IF(A1507=A1506,IF(F1507&lt;0,-F1507,0),"")</f>
        <v>0</v>
      </c>
    </row>
    <row r="1508" customFormat="false" ht="15" hidden="false" customHeight="false" outlineLevel="0" collapsed="false">
      <c r="A1508" s="14" t="s">
        <v>105</v>
      </c>
      <c r="B1508" s="15" t="n">
        <v>46162</v>
      </c>
      <c r="C1508" s="14" t="n">
        <v>1727.26</v>
      </c>
      <c r="D1508" s="14" t="n">
        <v>1248459</v>
      </c>
      <c r="E1508" s="16" t="n">
        <f aca="false">COUNTIFS($A$2:$A$1561,A1508,$B$2:$B$1561,"&gt;"&amp;B1508)+1</f>
        <v>54</v>
      </c>
      <c r="F1508" s="16" t="n">
        <f aca="false">IF(A1508=A1507,C1508-C1507,"")</f>
        <v>11.53</v>
      </c>
      <c r="G1508" s="16" t="n">
        <f aca="false">IF(A1508=A1507,IF(F1508&gt;0,F1508,0),"")</f>
        <v>11.53</v>
      </c>
      <c r="H1508" s="16" t="n">
        <f aca="false">IF(A1508=A1507,IF(F1508&lt;0,-F1508,0),"")</f>
        <v>0</v>
      </c>
    </row>
    <row r="1509" customFormat="false" ht="15" hidden="false" customHeight="false" outlineLevel="0" collapsed="false">
      <c r="A1509" s="14" t="s">
        <v>105</v>
      </c>
      <c r="B1509" s="15" t="n">
        <v>46163</v>
      </c>
      <c r="C1509" s="14" t="n">
        <v>1732.77</v>
      </c>
      <c r="D1509" s="14" t="n">
        <v>1718100</v>
      </c>
      <c r="E1509" s="16" t="n">
        <f aca="false">COUNTIFS($A$2:$A$1561,A1509,$B$2:$B$1561,"&gt;"&amp;B1509)+1</f>
        <v>53</v>
      </c>
      <c r="F1509" s="16" t="n">
        <f aca="false">IF(A1509=A1508,C1509-C1508,"")</f>
        <v>5.50999999999999</v>
      </c>
      <c r="G1509" s="16" t="n">
        <f aca="false">IF(A1509=A1508,IF(F1509&gt;0,F1509,0),"")</f>
        <v>5.50999999999999</v>
      </c>
      <c r="H1509" s="16" t="n">
        <f aca="false">IF(A1509=A1508,IF(F1509&lt;0,-F1509,0),"")</f>
        <v>0</v>
      </c>
    </row>
    <row r="1510" customFormat="false" ht="15" hidden="false" customHeight="false" outlineLevel="0" collapsed="false">
      <c r="A1510" s="14" t="s">
        <v>105</v>
      </c>
      <c r="B1510" s="15" t="n">
        <v>46164</v>
      </c>
      <c r="C1510" s="14" t="n">
        <v>1727.42</v>
      </c>
      <c r="D1510" s="14" t="n">
        <v>716209</v>
      </c>
      <c r="E1510" s="16" t="n">
        <f aca="false">COUNTIFS($A$2:$A$1561,A1510,$B$2:$B$1561,"&gt;"&amp;B1510)+1</f>
        <v>52</v>
      </c>
      <c r="F1510" s="16" t="n">
        <f aca="false">IF(A1510=A1509,C1510-C1509,"")</f>
        <v>-5.34999999999991</v>
      </c>
      <c r="G1510" s="16" t="n">
        <f aca="false">IF(A1510=A1509,IF(F1510&gt;0,F1510,0),"")</f>
        <v>0</v>
      </c>
      <c r="H1510" s="16" t="n">
        <f aca="false">IF(A1510=A1509,IF(F1510&lt;0,-F1510,0),"")</f>
        <v>5.34999999999991</v>
      </c>
    </row>
    <row r="1511" customFormat="false" ht="15" hidden="false" customHeight="false" outlineLevel="0" collapsed="false">
      <c r="A1511" s="14" t="s">
        <v>105</v>
      </c>
      <c r="B1511" s="15" t="n">
        <v>46167</v>
      </c>
      <c r="C1511" s="14" t="n">
        <v>1714.79</v>
      </c>
      <c r="D1511" s="14" t="n">
        <v>2476721</v>
      </c>
      <c r="E1511" s="16" t="n">
        <f aca="false">COUNTIFS($A$2:$A$1561,A1511,$B$2:$B$1561,"&gt;"&amp;B1511)+1</f>
        <v>51</v>
      </c>
      <c r="F1511" s="16" t="n">
        <f aca="false">IF(A1511=A1510,C1511-C1510,"")</f>
        <v>-12.6300000000001</v>
      </c>
      <c r="G1511" s="16" t="n">
        <f aca="false">IF(A1511=A1510,IF(F1511&gt;0,F1511,0),"")</f>
        <v>0</v>
      </c>
      <c r="H1511" s="16" t="n">
        <f aca="false">IF(A1511=A1510,IF(F1511&lt;0,-F1511,0),"")</f>
        <v>12.6300000000001</v>
      </c>
    </row>
    <row r="1512" customFormat="false" ht="15" hidden="false" customHeight="false" outlineLevel="0" collapsed="false">
      <c r="A1512" s="14" t="s">
        <v>105</v>
      </c>
      <c r="B1512" s="15" t="n">
        <v>46168</v>
      </c>
      <c r="C1512" s="14" t="n">
        <v>1720.06</v>
      </c>
      <c r="D1512" s="14" t="n">
        <v>2222983</v>
      </c>
      <c r="E1512" s="16" t="n">
        <f aca="false">COUNTIFS($A$2:$A$1561,A1512,$B$2:$B$1561,"&gt;"&amp;B1512)+1</f>
        <v>50</v>
      </c>
      <c r="F1512" s="16" t="n">
        <f aca="false">IF(A1512=A1511,C1512-C1511,"")</f>
        <v>5.26999999999998</v>
      </c>
      <c r="G1512" s="16" t="n">
        <f aca="false">IF(A1512=A1511,IF(F1512&gt;0,F1512,0),"")</f>
        <v>5.26999999999998</v>
      </c>
      <c r="H1512" s="16" t="n">
        <f aca="false">IF(A1512=A1511,IF(F1512&lt;0,-F1512,0),"")</f>
        <v>0</v>
      </c>
    </row>
    <row r="1513" customFormat="false" ht="15" hidden="false" customHeight="false" outlineLevel="0" collapsed="false">
      <c r="A1513" s="14" t="s">
        <v>105</v>
      </c>
      <c r="B1513" s="15" t="n">
        <v>46169</v>
      </c>
      <c r="C1513" s="14" t="n">
        <v>1713.59</v>
      </c>
      <c r="D1513" s="14" t="n">
        <v>1922187</v>
      </c>
      <c r="E1513" s="16" t="n">
        <f aca="false">COUNTIFS($A$2:$A$1561,A1513,$B$2:$B$1561,"&gt;"&amp;B1513)+1</f>
        <v>49</v>
      </c>
      <c r="F1513" s="16" t="n">
        <f aca="false">IF(A1513=A1512,C1513-C1512,"")</f>
        <v>-6.47000000000003</v>
      </c>
      <c r="G1513" s="16" t="n">
        <f aca="false">IF(A1513=A1512,IF(F1513&gt;0,F1513,0),"")</f>
        <v>0</v>
      </c>
      <c r="H1513" s="16" t="n">
        <f aca="false">IF(A1513=A1512,IF(F1513&lt;0,-F1513,0),"")</f>
        <v>6.47000000000003</v>
      </c>
    </row>
    <row r="1514" customFormat="false" ht="15" hidden="false" customHeight="false" outlineLevel="0" collapsed="false">
      <c r="A1514" s="14" t="s">
        <v>105</v>
      </c>
      <c r="B1514" s="15" t="n">
        <v>46170</v>
      </c>
      <c r="C1514" s="14" t="n">
        <v>1726.62</v>
      </c>
      <c r="D1514" s="14" t="n">
        <v>1097582</v>
      </c>
      <c r="E1514" s="16" t="n">
        <f aca="false">COUNTIFS($A$2:$A$1561,A1514,$B$2:$B$1561,"&gt;"&amp;B1514)+1</f>
        <v>48</v>
      </c>
      <c r="F1514" s="16" t="n">
        <f aca="false">IF(A1514=A1513,C1514-C1513,"")</f>
        <v>13.03</v>
      </c>
      <c r="G1514" s="16" t="n">
        <f aca="false">IF(A1514=A1513,IF(F1514&gt;0,F1514,0),"")</f>
        <v>13.03</v>
      </c>
      <c r="H1514" s="16" t="n">
        <f aca="false">IF(A1514=A1513,IF(F1514&lt;0,-F1514,0),"")</f>
        <v>0</v>
      </c>
    </row>
    <row r="1515" customFormat="false" ht="15" hidden="false" customHeight="false" outlineLevel="0" collapsed="false">
      <c r="A1515" s="14" t="s">
        <v>105</v>
      </c>
      <c r="B1515" s="15" t="n">
        <v>46171</v>
      </c>
      <c r="C1515" s="14" t="n">
        <v>1716.67</v>
      </c>
      <c r="D1515" s="14" t="n">
        <v>2030948</v>
      </c>
      <c r="E1515" s="16" t="n">
        <f aca="false">COUNTIFS($A$2:$A$1561,A1515,$B$2:$B$1561,"&gt;"&amp;B1515)+1</f>
        <v>47</v>
      </c>
      <c r="F1515" s="16" t="n">
        <f aca="false">IF(A1515=A1514,C1515-C1514,"")</f>
        <v>-9.94999999999982</v>
      </c>
      <c r="G1515" s="16" t="n">
        <f aca="false">IF(A1515=A1514,IF(F1515&gt;0,F1515,0),"")</f>
        <v>0</v>
      </c>
      <c r="H1515" s="16" t="n">
        <f aca="false">IF(A1515=A1514,IF(F1515&lt;0,-F1515,0),"")</f>
        <v>9.94999999999982</v>
      </c>
    </row>
    <row r="1516" customFormat="false" ht="15" hidden="false" customHeight="false" outlineLevel="0" collapsed="false">
      <c r="A1516" s="14" t="s">
        <v>105</v>
      </c>
      <c r="B1516" s="15" t="n">
        <v>46174</v>
      </c>
      <c r="C1516" s="14" t="n">
        <v>1729.95</v>
      </c>
      <c r="D1516" s="14" t="n">
        <v>2110859</v>
      </c>
      <c r="E1516" s="16" t="n">
        <f aca="false">COUNTIFS($A$2:$A$1561,A1516,$B$2:$B$1561,"&gt;"&amp;B1516)+1</f>
        <v>46</v>
      </c>
      <c r="F1516" s="16" t="n">
        <f aca="false">IF(A1516=A1515,C1516-C1515,"")</f>
        <v>13.28</v>
      </c>
      <c r="G1516" s="16" t="n">
        <f aca="false">IF(A1516=A1515,IF(F1516&gt;0,F1516,0),"")</f>
        <v>13.28</v>
      </c>
      <c r="H1516" s="16" t="n">
        <f aca="false">IF(A1516=A1515,IF(F1516&lt;0,-F1516,0),"")</f>
        <v>0</v>
      </c>
    </row>
    <row r="1517" customFormat="false" ht="15" hidden="false" customHeight="false" outlineLevel="0" collapsed="false">
      <c r="A1517" s="14" t="s">
        <v>105</v>
      </c>
      <c r="B1517" s="15" t="n">
        <v>46175</v>
      </c>
      <c r="C1517" s="14" t="n">
        <v>1740.3</v>
      </c>
      <c r="D1517" s="14" t="n">
        <v>1700066</v>
      </c>
      <c r="E1517" s="16" t="n">
        <f aca="false">COUNTIFS($A$2:$A$1561,A1517,$B$2:$B$1561,"&gt;"&amp;B1517)+1</f>
        <v>45</v>
      </c>
      <c r="F1517" s="16" t="n">
        <f aca="false">IF(A1517=A1516,C1517-C1516,"")</f>
        <v>10.3499999999999</v>
      </c>
      <c r="G1517" s="16" t="n">
        <f aca="false">IF(A1517=A1516,IF(F1517&gt;0,F1517,0),"")</f>
        <v>10.3499999999999</v>
      </c>
      <c r="H1517" s="16" t="n">
        <f aca="false">IF(A1517=A1516,IF(F1517&lt;0,-F1517,0),"")</f>
        <v>0</v>
      </c>
    </row>
    <row r="1518" customFormat="false" ht="15" hidden="false" customHeight="false" outlineLevel="0" collapsed="false">
      <c r="A1518" s="14" t="s">
        <v>105</v>
      </c>
      <c r="B1518" s="15" t="n">
        <v>46176</v>
      </c>
      <c r="C1518" s="14" t="n">
        <v>1746.26</v>
      </c>
      <c r="D1518" s="14" t="n">
        <v>1861511</v>
      </c>
      <c r="E1518" s="16" t="n">
        <f aca="false">COUNTIFS($A$2:$A$1561,A1518,$B$2:$B$1561,"&gt;"&amp;B1518)+1</f>
        <v>44</v>
      </c>
      <c r="F1518" s="16" t="n">
        <f aca="false">IF(A1518=A1517,C1518-C1517,"")</f>
        <v>5.96000000000004</v>
      </c>
      <c r="G1518" s="16" t="n">
        <f aca="false">IF(A1518=A1517,IF(F1518&gt;0,F1518,0),"")</f>
        <v>5.96000000000004</v>
      </c>
      <c r="H1518" s="16" t="n">
        <f aca="false">IF(A1518=A1517,IF(F1518&lt;0,-F1518,0),"")</f>
        <v>0</v>
      </c>
    </row>
    <row r="1519" customFormat="false" ht="15" hidden="false" customHeight="false" outlineLevel="0" collapsed="false">
      <c r="A1519" s="14" t="s">
        <v>105</v>
      </c>
      <c r="B1519" s="15" t="n">
        <v>46177</v>
      </c>
      <c r="C1519" s="14" t="n">
        <v>1754.16</v>
      </c>
      <c r="D1519" s="14" t="n">
        <v>1810801</v>
      </c>
      <c r="E1519" s="16" t="n">
        <f aca="false">COUNTIFS($A$2:$A$1561,A1519,$B$2:$B$1561,"&gt;"&amp;B1519)+1</f>
        <v>43</v>
      </c>
      <c r="F1519" s="16" t="n">
        <f aca="false">IF(A1519=A1518,C1519-C1518,"")</f>
        <v>7.90000000000009</v>
      </c>
      <c r="G1519" s="16" t="n">
        <f aca="false">IF(A1519=A1518,IF(F1519&gt;0,F1519,0),"")</f>
        <v>7.90000000000009</v>
      </c>
      <c r="H1519" s="16" t="n">
        <f aca="false">IF(A1519=A1518,IF(F1519&lt;0,-F1519,0),"")</f>
        <v>0</v>
      </c>
    </row>
    <row r="1520" customFormat="false" ht="15" hidden="false" customHeight="false" outlineLevel="0" collapsed="false">
      <c r="A1520" s="14" t="s">
        <v>105</v>
      </c>
      <c r="B1520" s="15" t="n">
        <v>46178</v>
      </c>
      <c r="C1520" s="14" t="n">
        <v>1770.82</v>
      </c>
      <c r="D1520" s="14" t="n">
        <v>1018852</v>
      </c>
      <c r="E1520" s="16" t="n">
        <f aca="false">COUNTIFS($A$2:$A$1561,A1520,$B$2:$B$1561,"&gt;"&amp;B1520)+1</f>
        <v>42</v>
      </c>
      <c r="F1520" s="16" t="n">
        <f aca="false">IF(A1520=A1519,C1520-C1519,"")</f>
        <v>16.6599999999999</v>
      </c>
      <c r="G1520" s="16" t="n">
        <f aca="false">IF(A1520=A1519,IF(F1520&gt;0,F1520,0),"")</f>
        <v>16.6599999999999</v>
      </c>
      <c r="H1520" s="16" t="n">
        <f aca="false">IF(A1520=A1519,IF(F1520&lt;0,-F1520,0),"")</f>
        <v>0</v>
      </c>
    </row>
    <row r="1521" customFormat="false" ht="15" hidden="false" customHeight="false" outlineLevel="0" collapsed="false">
      <c r="A1521" s="14" t="s">
        <v>105</v>
      </c>
      <c r="B1521" s="15" t="n">
        <v>46181</v>
      </c>
      <c r="C1521" s="14" t="n">
        <v>1769.18</v>
      </c>
      <c r="D1521" s="14" t="n">
        <v>1276549</v>
      </c>
      <c r="E1521" s="16" t="n">
        <f aca="false">COUNTIFS($A$2:$A$1561,A1521,$B$2:$B$1561,"&gt;"&amp;B1521)+1</f>
        <v>41</v>
      </c>
      <c r="F1521" s="16" t="n">
        <f aca="false">IF(A1521=A1520,C1521-C1520,"")</f>
        <v>-1.63999999999987</v>
      </c>
      <c r="G1521" s="16" t="n">
        <f aca="false">IF(A1521=A1520,IF(F1521&gt;0,F1521,0),"")</f>
        <v>0</v>
      </c>
      <c r="H1521" s="16" t="n">
        <f aca="false">IF(A1521=A1520,IF(F1521&lt;0,-F1521,0),"")</f>
        <v>1.63999999999987</v>
      </c>
    </row>
    <row r="1522" customFormat="false" ht="15" hidden="false" customHeight="false" outlineLevel="0" collapsed="false">
      <c r="A1522" s="14" t="s">
        <v>105</v>
      </c>
      <c r="B1522" s="15" t="n">
        <v>46182</v>
      </c>
      <c r="C1522" s="14" t="n">
        <v>1755.34</v>
      </c>
      <c r="D1522" s="14" t="n">
        <v>1916137</v>
      </c>
      <c r="E1522" s="16" t="n">
        <f aca="false">COUNTIFS($A$2:$A$1561,A1522,$B$2:$B$1561,"&gt;"&amp;B1522)+1</f>
        <v>40</v>
      </c>
      <c r="F1522" s="16" t="n">
        <f aca="false">IF(A1522=A1521,C1522-C1521,"")</f>
        <v>-13.8400000000001</v>
      </c>
      <c r="G1522" s="16" t="n">
        <f aca="false">IF(A1522=A1521,IF(F1522&gt;0,F1522,0),"")</f>
        <v>0</v>
      </c>
      <c r="H1522" s="16" t="n">
        <f aca="false">IF(A1522=A1521,IF(F1522&lt;0,-F1522,0),"")</f>
        <v>13.8400000000001</v>
      </c>
    </row>
    <row r="1523" customFormat="false" ht="15" hidden="false" customHeight="false" outlineLevel="0" collapsed="false">
      <c r="A1523" s="14" t="s">
        <v>105</v>
      </c>
      <c r="B1523" s="15" t="n">
        <v>46183</v>
      </c>
      <c r="C1523" s="14" t="n">
        <v>1758.56</v>
      </c>
      <c r="D1523" s="14" t="n">
        <v>879830</v>
      </c>
      <c r="E1523" s="16" t="n">
        <f aca="false">COUNTIFS($A$2:$A$1561,A1523,$B$2:$B$1561,"&gt;"&amp;B1523)+1</f>
        <v>39</v>
      </c>
      <c r="F1523" s="16" t="n">
        <f aca="false">IF(A1523=A1522,C1523-C1522,"")</f>
        <v>3.22000000000003</v>
      </c>
      <c r="G1523" s="16" t="n">
        <f aca="false">IF(A1523=A1522,IF(F1523&gt;0,F1523,0),"")</f>
        <v>3.22000000000003</v>
      </c>
      <c r="H1523" s="16" t="n">
        <f aca="false">IF(A1523=A1522,IF(F1523&lt;0,-F1523,0),"")</f>
        <v>0</v>
      </c>
    </row>
    <row r="1524" customFormat="false" ht="15" hidden="false" customHeight="false" outlineLevel="0" collapsed="false">
      <c r="A1524" s="14" t="s">
        <v>105</v>
      </c>
      <c r="B1524" s="15" t="n">
        <v>46184</v>
      </c>
      <c r="C1524" s="14" t="n">
        <v>1766.68</v>
      </c>
      <c r="D1524" s="14" t="n">
        <v>944726</v>
      </c>
      <c r="E1524" s="16" t="n">
        <f aca="false">COUNTIFS($A$2:$A$1561,A1524,$B$2:$B$1561,"&gt;"&amp;B1524)+1</f>
        <v>38</v>
      </c>
      <c r="F1524" s="16" t="n">
        <f aca="false">IF(A1524=A1523,C1524-C1523,"")</f>
        <v>8.12000000000012</v>
      </c>
      <c r="G1524" s="16" t="n">
        <f aca="false">IF(A1524=A1523,IF(F1524&gt;0,F1524,0),"")</f>
        <v>8.12000000000012</v>
      </c>
      <c r="H1524" s="16" t="n">
        <f aca="false">IF(A1524=A1523,IF(F1524&lt;0,-F1524,0),"")</f>
        <v>0</v>
      </c>
    </row>
    <row r="1525" customFormat="false" ht="15" hidden="false" customHeight="false" outlineLevel="0" collapsed="false">
      <c r="A1525" s="14" t="s">
        <v>105</v>
      </c>
      <c r="B1525" s="15" t="n">
        <v>46185</v>
      </c>
      <c r="C1525" s="14" t="n">
        <v>1768.74</v>
      </c>
      <c r="D1525" s="14" t="n">
        <v>2069794</v>
      </c>
      <c r="E1525" s="16" t="n">
        <f aca="false">COUNTIFS($A$2:$A$1561,A1525,$B$2:$B$1561,"&gt;"&amp;B1525)+1</f>
        <v>37</v>
      </c>
      <c r="F1525" s="16" t="n">
        <f aca="false">IF(A1525=A1524,C1525-C1524,"")</f>
        <v>2.05999999999995</v>
      </c>
      <c r="G1525" s="16" t="n">
        <f aca="false">IF(A1525=A1524,IF(F1525&gt;0,F1525,0),"")</f>
        <v>2.05999999999995</v>
      </c>
      <c r="H1525" s="16" t="n">
        <f aca="false">IF(A1525=A1524,IF(F1525&lt;0,-F1525,0),"")</f>
        <v>0</v>
      </c>
    </row>
    <row r="1526" customFormat="false" ht="15" hidden="false" customHeight="false" outlineLevel="0" collapsed="false">
      <c r="A1526" s="14" t="s">
        <v>105</v>
      </c>
      <c r="B1526" s="15" t="n">
        <v>46188</v>
      </c>
      <c r="C1526" s="14" t="n">
        <v>1782.63</v>
      </c>
      <c r="D1526" s="14" t="n">
        <v>1843736</v>
      </c>
      <c r="E1526" s="16" t="n">
        <f aca="false">COUNTIFS($A$2:$A$1561,A1526,$B$2:$B$1561,"&gt;"&amp;B1526)+1</f>
        <v>36</v>
      </c>
      <c r="F1526" s="16" t="n">
        <f aca="false">IF(A1526=A1525,C1526-C1525,"")</f>
        <v>13.8900000000001</v>
      </c>
      <c r="G1526" s="16" t="n">
        <f aca="false">IF(A1526=A1525,IF(F1526&gt;0,F1526,0),"")</f>
        <v>13.8900000000001</v>
      </c>
      <c r="H1526" s="16" t="n">
        <f aca="false">IF(A1526=A1525,IF(F1526&lt;0,-F1526,0),"")</f>
        <v>0</v>
      </c>
    </row>
    <row r="1527" customFormat="false" ht="15" hidden="false" customHeight="false" outlineLevel="0" collapsed="false">
      <c r="A1527" s="14" t="s">
        <v>105</v>
      </c>
      <c r="B1527" s="15" t="n">
        <v>46189</v>
      </c>
      <c r="C1527" s="14" t="n">
        <v>1783.83</v>
      </c>
      <c r="D1527" s="14" t="n">
        <v>2190838</v>
      </c>
      <c r="E1527" s="16" t="n">
        <f aca="false">COUNTIFS($A$2:$A$1561,A1527,$B$2:$B$1561,"&gt;"&amp;B1527)+1</f>
        <v>35</v>
      </c>
      <c r="F1527" s="16" t="n">
        <f aca="false">IF(A1527=A1526,C1527-C1526,"")</f>
        <v>1.19999999999982</v>
      </c>
      <c r="G1527" s="16" t="n">
        <f aca="false">IF(A1527=A1526,IF(F1527&gt;0,F1527,0),"")</f>
        <v>1.19999999999982</v>
      </c>
      <c r="H1527" s="16" t="n">
        <f aca="false">IF(A1527=A1526,IF(F1527&lt;0,-F1527,0),"")</f>
        <v>0</v>
      </c>
    </row>
    <row r="1528" customFormat="false" ht="15" hidden="false" customHeight="false" outlineLevel="0" collapsed="false">
      <c r="A1528" s="14" t="s">
        <v>105</v>
      </c>
      <c r="B1528" s="15" t="n">
        <v>46190</v>
      </c>
      <c r="C1528" s="14" t="n">
        <v>1795.73</v>
      </c>
      <c r="D1528" s="14" t="n">
        <v>2252989</v>
      </c>
      <c r="E1528" s="16" t="n">
        <f aca="false">COUNTIFS($A$2:$A$1561,A1528,$B$2:$B$1561,"&gt;"&amp;B1528)+1</f>
        <v>34</v>
      </c>
      <c r="F1528" s="16" t="n">
        <f aca="false">IF(A1528=A1527,C1528-C1527,"")</f>
        <v>11.9000000000001</v>
      </c>
      <c r="G1528" s="16" t="n">
        <f aca="false">IF(A1528=A1527,IF(F1528&gt;0,F1528,0),"")</f>
        <v>11.9000000000001</v>
      </c>
      <c r="H1528" s="16" t="n">
        <f aca="false">IF(A1528=A1527,IF(F1528&lt;0,-F1528,0),"")</f>
        <v>0</v>
      </c>
    </row>
    <row r="1529" customFormat="false" ht="15" hidden="false" customHeight="false" outlineLevel="0" collapsed="false">
      <c r="A1529" s="14" t="s">
        <v>105</v>
      </c>
      <c r="B1529" s="15" t="n">
        <v>46191</v>
      </c>
      <c r="C1529" s="14" t="n">
        <v>1786.4</v>
      </c>
      <c r="D1529" s="14" t="n">
        <v>695206</v>
      </c>
      <c r="E1529" s="16" t="n">
        <f aca="false">COUNTIFS($A$2:$A$1561,A1529,$B$2:$B$1561,"&gt;"&amp;B1529)+1</f>
        <v>33</v>
      </c>
      <c r="F1529" s="16" t="n">
        <f aca="false">IF(A1529=A1528,C1529-C1528,"")</f>
        <v>-9.32999999999993</v>
      </c>
      <c r="G1529" s="16" t="n">
        <f aca="false">IF(A1529=A1528,IF(F1529&gt;0,F1529,0),"")</f>
        <v>0</v>
      </c>
      <c r="H1529" s="16" t="n">
        <f aca="false">IF(A1529=A1528,IF(F1529&lt;0,-F1529,0),"")</f>
        <v>9.32999999999993</v>
      </c>
    </row>
    <row r="1530" customFormat="false" ht="15" hidden="false" customHeight="false" outlineLevel="0" collapsed="false">
      <c r="A1530" s="14" t="s">
        <v>105</v>
      </c>
      <c r="B1530" s="15" t="n">
        <v>46192</v>
      </c>
      <c r="C1530" s="14" t="n">
        <v>1775.4</v>
      </c>
      <c r="D1530" s="14" t="n">
        <v>1017303</v>
      </c>
      <c r="E1530" s="16" t="n">
        <f aca="false">COUNTIFS($A$2:$A$1561,A1530,$B$2:$B$1561,"&gt;"&amp;B1530)+1</f>
        <v>32</v>
      </c>
      <c r="F1530" s="16" t="n">
        <f aca="false">IF(A1530=A1529,C1530-C1529,"")</f>
        <v>-11</v>
      </c>
      <c r="G1530" s="16" t="n">
        <f aca="false">IF(A1530=A1529,IF(F1530&gt;0,F1530,0),"")</f>
        <v>0</v>
      </c>
      <c r="H1530" s="16" t="n">
        <f aca="false">IF(A1530=A1529,IF(F1530&lt;0,-F1530,0),"")</f>
        <v>11</v>
      </c>
    </row>
    <row r="1531" customFormat="false" ht="15" hidden="false" customHeight="false" outlineLevel="0" collapsed="false">
      <c r="A1531" s="14" t="s">
        <v>105</v>
      </c>
      <c r="B1531" s="15" t="n">
        <v>46195</v>
      </c>
      <c r="C1531" s="14" t="n">
        <v>1786.21</v>
      </c>
      <c r="D1531" s="14" t="n">
        <v>2025836</v>
      </c>
      <c r="E1531" s="16" t="n">
        <f aca="false">COUNTIFS($A$2:$A$1561,A1531,$B$2:$B$1561,"&gt;"&amp;B1531)+1</f>
        <v>31</v>
      </c>
      <c r="F1531" s="16" t="n">
        <f aca="false">IF(A1531=A1530,C1531-C1530,"")</f>
        <v>10.8099999999999</v>
      </c>
      <c r="G1531" s="16" t="n">
        <f aca="false">IF(A1531=A1530,IF(F1531&gt;0,F1531,0),"")</f>
        <v>10.8099999999999</v>
      </c>
      <c r="H1531" s="16" t="n">
        <f aca="false">IF(A1531=A1530,IF(F1531&lt;0,-F1531,0),"")</f>
        <v>0</v>
      </c>
    </row>
    <row r="1532" customFormat="false" ht="15" hidden="false" customHeight="false" outlineLevel="0" collapsed="false">
      <c r="A1532" s="14" t="s">
        <v>105</v>
      </c>
      <c r="B1532" s="15" t="n">
        <v>46196</v>
      </c>
      <c r="C1532" s="14" t="n">
        <v>1776.98</v>
      </c>
      <c r="D1532" s="14" t="n">
        <v>1859424</v>
      </c>
      <c r="E1532" s="16" t="n">
        <f aca="false">COUNTIFS($A$2:$A$1561,A1532,$B$2:$B$1561,"&gt;"&amp;B1532)+1</f>
        <v>30</v>
      </c>
      <c r="F1532" s="16" t="n">
        <f aca="false">IF(A1532=A1531,C1532-C1531,"")</f>
        <v>-9.23000000000002</v>
      </c>
      <c r="G1532" s="16" t="n">
        <f aca="false">IF(A1532=A1531,IF(F1532&gt;0,F1532,0),"")</f>
        <v>0</v>
      </c>
      <c r="H1532" s="16" t="n">
        <f aca="false">IF(A1532=A1531,IF(F1532&lt;0,-F1532,0),"")</f>
        <v>9.23000000000002</v>
      </c>
    </row>
    <row r="1533" customFormat="false" ht="15" hidden="false" customHeight="false" outlineLevel="0" collapsed="false">
      <c r="A1533" s="14" t="s">
        <v>105</v>
      </c>
      <c r="B1533" s="15" t="n">
        <v>46197</v>
      </c>
      <c r="C1533" s="14" t="n">
        <v>1772.69</v>
      </c>
      <c r="D1533" s="14" t="n">
        <v>678599</v>
      </c>
      <c r="E1533" s="16" t="n">
        <f aca="false">COUNTIFS($A$2:$A$1561,A1533,$B$2:$B$1561,"&gt;"&amp;B1533)+1</f>
        <v>29</v>
      </c>
      <c r="F1533" s="16" t="n">
        <f aca="false">IF(A1533=A1532,C1533-C1532,"")</f>
        <v>-4.28999999999996</v>
      </c>
      <c r="G1533" s="16" t="n">
        <f aca="false">IF(A1533=A1532,IF(F1533&gt;0,F1533,0),"")</f>
        <v>0</v>
      </c>
      <c r="H1533" s="16" t="n">
        <f aca="false">IF(A1533=A1532,IF(F1533&lt;0,-F1533,0),"")</f>
        <v>4.28999999999996</v>
      </c>
    </row>
    <row r="1534" customFormat="false" ht="15" hidden="false" customHeight="false" outlineLevel="0" collapsed="false">
      <c r="A1534" s="14" t="s">
        <v>105</v>
      </c>
      <c r="B1534" s="15" t="n">
        <v>46198</v>
      </c>
      <c r="C1534" s="14" t="n">
        <v>1769.03</v>
      </c>
      <c r="D1534" s="14" t="n">
        <v>1988419</v>
      </c>
      <c r="E1534" s="16" t="n">
        <f aca="false">COUNTIFS($A$2:$A$1561,A1534,$B$2:$B$1561,"&gt;"&amp;B1534)+1</f>
        <v>28</v>
      </c>
      <c r="F1534" s="16" t="n">
        <f aca="false">IF(A1534=A1533,C1534-C1533,"")</f>
        <v>-3.66000000000008</v>
      </c>
      <c r="G1534" s="16" t="n">
        <f aca="false">IF(A1534=A1533,IF(F1534&gt;0,F1534,0),"")</f>
        <v>0</v>
      </c>
      <c r="H1534" s="16" t="n">
        <f aca="false">IF(A1534=A1533,IF(F1534&lt;0,-F1534,0),"")</f>
        <v>3.66000000000008</v>
      </c>
    </row>
    <row r="1535" customFormat="false" ht="15" hidden="false" customHeight="false" outlineLevel="0" collapsed="false">
      <c r="A1535" s="14" t="s">
        <v>105</v>
      </c>
      <c r="B1535" s="15" t="n">
        <v>46199</v>
      </c>
      <c r="C1535" s="14" t="n">
        <v>1763.84</v>
      </c>
      <c r="D1535" s="14" t="n">
        <v>2076180</v>
      </c>
      <c r="E1535" s="16" t="n">
        <f aca="false">COUNTIFS($A$2:$A$1561,A1535,$B$2:$B$1561,"&gt;"&amp;B1535)+1</f>
        <v>27</v>
      </c>
      <c r="F1535" s="16" t="n">
        <f aca="false">IF(A1535=A1534,C1535-C1534,"")</f>
        <v>-5.19000000000006</v>
      </c>
      <c r="G1535" s="16" t="n">
        <f aca="false">IF(A1535=A1534,IF(F1535&gt;0,F1535,0),"")</f>
        <v>0</v>
      </c>
      <c r="H1535" s="16" t="n">
        <f aca="false">IF(A1535=A1534,IF(F1535&lt;0,-F1535,0),"")</f>
        <v>5.19000000000006</v>
      </c>
    </row>
    <row r="1536" customFormat="false" ht="15" hidden="false" customHeight="false" outlineLevel="0" collapsed="false">
      <c r="A1536" s="14" t="s">
        <v>105</v>
      </c>
      <c r="B1536" s="15" t="n">
        <v>46202</v>
      </c>
      <c r="C1536" s="14" t="n">
        <v>1759.44</v>
      </c>
      <c r="D1536" s="14" t="n">
        <v>1021118</v>
      </c>
      <c r="E1536" s="16" t="n">
        <f aca="false">COUNTIFS($A$2:$A$1561,A1536,$B$2:$B$1561,"&gt;"&amp;B1536)+1</f>
        <v>26</v>
      </c>
      <c r="F1536" s="16" t="n">
        <f aca="false">IF(A1536=A1535,C1536-C1535,"")</f>
        <v>-4.39999999999986</v>
      </c>
      <c r="G1536" s="16" t="n">
        <f aca="false">IF(A1536=A1535,IF(F1536&gt;0,F1536,0),"")</f>
        <v>0</v>
      </c>
      <c r="H1536" s="16" t="n">
        <f aca="false">IF(A1536=A1535,IF(F1536&lt;0,-F1536,0),"")</f>
        <v>4.39999999999986</v>
      </c>
    </row>
    <row r="1537" customFormat="false" ht="15" hidden="false" customHeight="false" outlineLevel="0" collapsed="false">
      <c r="A1537" s="14" t="s">
        <v>105</v>
      </c>
      <c r="B1537" s="15" t="n">
        <v>46203</v>
      </c>
      <c r="C1537" s="14" t="n">
        <v>1753.86</v>
      </c>
      <c r="D1537" s="14" t="n">
        <v>2202427</v>
      </c>
      <c r="E1537" s="16" t="n">
        <f aca="false">COUNTIFS($A$2:$A$1561,A1537,$B$2:$B$1561,"&gt;"&amp;B1537)+1</f>
        <v>25</v>
      </c>
      <c r="F1537" s="16" t="n">
        <f aca="false">IF(A1537=A1536,C1537-C1536,"")</f>
        <v>-5.58000000000016</v>
      </c>
      <c r="G1537" s="16" t="n">
        <f aca="false">IF(A1537=A1536,IF(F1537&gt;0,F1537,0),"")</f>
        <v>0</v>
      </c>
      <c r="H1537" s="16" t="n">
        <f aca="false">IF(A1537=A1536,IF(F1537&lt;0,-F1537,0),"")</f>
        <v>5.58000000000016</v>
      </c>
    </row>
    <row r="1538" customFormat="false" ht="15" hidden="false" customHeight="false" outlineLevel="0" collapsed="false">
      <c r="A1538" s="14" t="s">
        <v>105</v>
      </c>
      <c r="B1538" s="15" t="n">
        <v>46204</v>
      </c>
      <c r="C1538" s="14" t="n">
        <v>1753.88</v>
      </c>
      <c r="D1538" s="14" t="n">
        <v>2232786</v>
      </c>
      <c r="E1538" s="16" t="n">
        <f aca="false">COUNTIFS($A$2:$A$1561,A1538,$B$2:$B$1561,"&gt;"&amp;B1538)+1</f>
        <v>24</v>
      </c>
      <c r="F1538" s="16" t="n">
        <f aca="false">IF(A1538=A1537,C1538-C1537,"")</f>
        <v>0.0200000000002092</v>
      </c>
      <c r="G1538" s="16" t="n">
        <f aca="false">IF(A1538=A1537,IF(F1538&gt;0,F1538,0),"")</f>
        <v>0.0200000000002092</v>
      </c>
      <c r="H1538" s="16" t="n">
        <f aca="false">IF(A1538=A1537,IF(F1538&lt;0,-F1538,0),"")</f>
        <v>0</v>
      </c>
    </row>
    <row r="1539" customFormat="false" ht="15" hidden="false" customHeight="false" outlineLevel="0" collapsed="false">
      <c r="A1539" s="14" t="s">
        <v>105</v>
      </c>
      <c r="B1539" s="15" t="n">
        <v>46205</v>
      </c>
      <c r="C1539" s="14" t="n">
        <v>1757.47</v>
      </c>
      <c r="D1539" s="14" t="n">
        <v>2388601</v>
      </c>
      <c r="E1539" s="16" t="n">
        <f aca="false">COUNTIFS($A$2:$A$1561,A1539,$B$2:$B$1561,"&gt;"&amp;B1539)+1</f>
        <v>23</v>
      </c>
      <c r="F1539" s="16" t="n">
        <f aca="false">IF(A1539=A1538,C1539-C1538,"")</f>
        <v>3.58999999999992</v>
      </c>
      <c r="G1539" s="16" t="n">
        <f aca="false">IF(A1539=A1538,IF(F1539&gt;0,F1539,0),"")</f>
        <v>3.58999999999992</v>
      </c>
      <c r="H1539" s="16" t="n">
        <f aca="false">IF(A1539=A1538,IF(F1539&lt;0,-F1539,0),"")</f>
        <v>0</v>
      </c>
    </row>
    <row r="1540" customFormat="false" ht="15" hidden="false" customHeight="false" outlineLevel="0" collapsed="false">
      <c r="A1540" s="14" t="s">
        <v>105</v>
      </c>
      <c r="B1540" s="15" t="n">
        <v>46206</v>
      </c>
      <c r="C1540" s="14" t="n">
        <v>1744.85</v>
      </c>
      <c r="D1540" s="14" t="n">
        <v>2278852</v>
      </c>
      <c r="E1540" s="16" t="n">
        <f aca="false">COUNTIFS($A$2:$A$1561,A1540,$B$2:$B$1561,"&gt;"&amp;B1540)+1</f>
        <v>22</v>
      </c>
      <c r="F1540" s="16" t="n">
        <f aca="false">IF(A1540=A1539,C1540-C1539,"")</f>
        <v>-12.6200000000001</v>
      </c>
      <c r="G1540" s="16" t="n">
        <f aca="false">IF(A1540=A1539,IF(F1540&gt;0,F1540,0),"")</f>
        <v>0</v>
      </c>
      <c r="H1540" s="16" t="n">
        <f aca="false">IF(A1540=A1539,IF(F1540&lt;0,-F1540,0),"")</f>
        <v>12.6200000000001</v>
      </c>
    </row>
    <row r="1541" customFormat="false" ht="15" hidden="false" customHeight="false" outlineLevel="0" collapsed="false">
      <c r="A1541" s="14" t="s">
        <v>105</v>
      </c>
      <c r="B1541" s="15" t="n">
        <v>46209</v>
      </c>
      <c r="C1541" s="14" t="n">
        <v>1745.81</v>
      </c>
      <c r="D1541" s="14" t="n">
        <v>2234995</v>
      </c>
      <c r="E1541" s="16" t="n">
        <f aca="false">COUNTIFS($A$2:$A$1561,A1541,$B$2:$B$1561,"&gt;"&amp;B1541)+1</f>
        <v>21</v>
      </c>
      <c r="F1541" s="16" t="n">
        <f aca="false">IF(A1541=A1540,C1541-C1540,"")</f>
        <v>0.960000000000036</v>
      </c>
      <c r="G1541" s="16" t="n">
        <f aca="false">IF(A1541=A1540,IF(F1541&gt;0,F1541,0),"")</f>
        <v>0.960000000000036</v>
      </c>
      <c r="H1541" s="16" t="n">
        <f aca="false">IF(A1541=A1540,IF(F1541&lt;0,-F1541,0),"")</f>
        <v>0</v>
      </c>
    </row>
    <row r="1542" customFormat="false" ht="15" hidden="false" customHeight="false" outlineLevel="0" collapsed="false">
      <c r="A1542" s="14" t="s">
        <v>105</v>
      </c>
      <c r="B1542" s="15" t="n">
        <v>46210</v>
      </c>
      <c r="C1542" s="14" t="n">
        <v>1743.03</v>
      </c>
      <c r="D1542" s="14" t="n">
        <v>1096711</v>
      </c>
      <c r="E1542" s="16" t="n">
        <f aca="false">COUNTIFS($A$2:$A$1561,A1542,$B$2:$B$1561,"&gt;"&amp;B1542)+1</f>
        <v>20</v>
      </c>
      <c r="F1542" s="16" t="n">
        <f aca="false">IF(A1542=A1541,C1542-C1541,"")</f>
        <v>-2.77999999999997</v>
      </c>
      <c r="G1542" s="16" t="n">
        <f aca="false">IF(A1542=A1541,IF(F1542&gt;0,F1542,0),"")</f>
        <v>0</v>
      </c>
      <c r="H1542" s="16" t="n">
        <f aca="false">IF(A1542=A1541,IF(F1542&lt;0,-F1542,0),"")</f>
        <v>2.77999999999997</v>
      </c>
    </row>
    <row r="1543" customFormat="false" ht="15" hidden="false" customHeight="false" outlineLevel="0" collapsed="false">
      <c r="A1543" s="14" t="s">
        <v>105</v>
      </c>
      <c r="B1543" s="15" t="n">
        <v>46211</v>
      </c>
      <c r="C1543" s="14" t="n">
        <v>1729.98</v>
      </c>
      <c r="D1543" s="14" t="n">
        <v>2208479</v>
      </c>
      <c r="E1543" s="16" t="n">
        <f aca="false">COUNTIFS($A$2:$A$1561,A1543,$B$2:$B$1561,"&gt;"&amp;B1543)+1</f>
        <v>19</v>
      </c>
      <c r="F1543" s="16" t="n">
        <f aca="false">IF(A1543=A1542,C1543-C1542,"")</f>
        <v>-13.05</v>
      </c>
      <c r="G1543" s="16" t="n">
        <f aca="false">IF(A1543=A1542,IF(F1543&gt;0,F1543,0),"")</f>
        <v>0</v>
      </c>
      <c r="H1543" s="16" t="n">
        <f aca="false">IF(A1543=A1542,IF(F1543&lt;0,-F1543,0),"")</f>
        <v>13.05</v>
      </c>
    </row>
    <row r="1544" customFormat="false" ht="15" hidden="false" customHeight="false" outlineLevel="0" collapsed="false">
      <c r="A1544" s="14" t="s">
        <v>105</v>
      </c>
      <c r="B1544" s="15" t="n">
        <v>46212</v>
      </c>
      <c r="C1544" s="14" t="n">
        <v>1719.62</v>
      </c>
      <c r="D1544" s="14" t="n">
        <v>900593</v>
      </c>
      <c r="E1544" s="16" t="n">
        <f aca="false">COUNTIFS($A$2:$A$1561,A1544,$B$2:$B$1561,"&gt;"&amp;B1544)+1</f>
        <v>18</v>
      </c>
      <c r="F1544" s="16" t="n">
        <f aca="false">IF(A1544=A1543,C1544-C1543,"")</f>
        <v>-10.3600000000001</v>
      </c>
      <c r="G1544" s="16" t="n">
        <f aca="false">IF(A1544=A1543,IF(F1544&gt;0,F1544,0),"")</f>
        <v>0</v>
      </c>
      <c r="H1544" s="16" t="n">
        <f aca="false">IF(A1544=A1543,IF(F1544&lt;0,-F1544,0),"")</f>
        <v>10.3600000000001</v>
      </c>
    </row>
    <row r="1545" customFormat="false" ht="15" hidden="false" customHeight="false" outlineLevel="0" collapsed="false">
      <c r="A1545" s="14" t="s">
        <v>105</v>
      </c>
      <c r="B1545" s="15" t="n">
        <v>46213</v>
      </c>
      <c r="C1545" s="14" t="n">
        <v>1717.74</v>
      </c>
      <c r="D1545" s="14" t="n">
        <v>1638807</v>
      </c>
      <c r="E1545" s="16" t="n">
        <f aca="false">COUNTIFS($A$2:$A$1561,A1545,$B$2:$B$1561,"&gt;"&amp;B1545)+1</f>
        <v>17</v>
      </c>
      <c r="F1545" s="16" t="n">
        <f aca="false">IF(A1545=A1544,C1545-C1544,"")</f>
        <v>-1.87999999999988</v>
      </c>
      <c r="G1545" s="16" t="n">
        <f aca="false">IF(A1545=A1544,IF(F1545&gt;0,F1545,0),"")</f>
        <v>0</v>
      </c>
      <c r="H1545" s="16" t="n">
        <f aca="false">IF(A1545=A1544,IF(F1545&lt;0,-F1545,0),"")</f>
        <v>1.87999999999988</v>
      </c>
    </row>
    <row r="1546" customFormat="false" ht="15" hidden="false" customHeight="false" outlineLevel="0" collapsed="false">
      <c r="A1546" s="14" t="s">
        <v>105</v>
      </c>
      <c r="B1546" s="15" t="n">
        <v>46216</v>
      </c>
      <c r="C1546" s="14" t="n">
        <v>1731.24</v>
      </c>
      <c r="D1546" s="14" t="n">
        <v>1415142</v>
      </c>
      <c r="E1546" s="16" t="n">
        <f aca="false">COUNTIFS($A$2:$A$1561,A1546,$B$2:$B$1561,"&gt;"&amp;B1546)+1</f>
        <v>16</v>
      </c>
      <c r="F1546" s="16" t="n">
        <f aca="false">IF(A1546=A1545,C1546-C1545,"")</f>
        <v>13.5</v>
      </c>
      <c r="G1546" s="16" t="n">
        <f aca="false">IF(A1546=A1545,IF(F1546&gt;0,F1546,0),"")</f>
        <v>13.5</v>
      </c>
      <c r="H1546" s="16" t="n">
        <f aca="false">IF(A1546=A1545,IF(F1546&lt;0,-F1546,0),"")</f>
        <v>0</v>
      </c>
    </row>
    <row r="1547" customFormat="false" ht="15" hidden="false" customHeight="false" outlineLevel="0" collapsed="false">
      <c r="A1547" s="14" t="s">
        <v>105</v>
      </c>
      <c r="B1547" s="15" t="n">
        <v>46217</v>
      </c>
      <c r="C1547" s="14" t="n">
        <v>1726.45</v>
      </c>
      <c r="D1547" s="14" t="n">
        <v>1931336</v>
      </c>
      <c r="E1547" s="16" t="n">
        <f aca="false">COUNTIFS($A$2:$A$1561,A1547,$B$2:$B$1561,"&gt;"&amp;B1547)+1</f>
        <v>15</v>
      </c>
      <c r="F1547" s="16" t="n">
        <f aca="false">IF(A1547=A1546,C1547-C1546,"")</f>
        <v>-4.78999999999996</v>
      </c>
      <c r="G1547" s="16" t="n">
        <f aca="false">IF(A1547=A1546,IF(F1547&gt;0,F1547,0),"")</f>
        <v>0</v>
      </c>
      <c r="H1547" s="16" t="n">
        <f aca="false">IF(A1547=A1546,IF(F1547&lt;0,-F1547,0),"")</f>
        <v>4.78999999999996</v>
      </c>
    </row>
    <row r="1548" customFormat="false" ht="15" hidden="false" customHeight="false" outlineLevel="0" collapsed="false">
      <c r="A1548" s="14" t="s">
        <v>105</v>
      </c>
      <c r="B1548" s="15" t="n">
        <v>46218</v>
      </c>
      <c r="C1548" s="14" t="n">
        <v>1736.05</v>
      </c>
      <c r="D1548" s="14" t="n">
        <v>1475161</v>
      </c>
      <c r="E1548" s="16" t="n">
        <f aca="false">COUNTIFS($A$2:$A$1561,A1548,$B$2:$B$1561,"&gt;"&amp;B1548)+1</f>
        <v>14</v>
      </c>
      <c r="F1548" s="16" t="n">
        <f aca="false">IF(A1548=A1547,C1548-C1547,"")</f>
        <v>9.59999999999991</v>
      </c>
      <c r="G1548" s="16" t="n">
        <f aca="false">IF(A1548=A1547,IF(F1548&gt;0,F1548,0),"")</f>
        <v>9.59999999999991</v>
      </c>
      <c r="H1548" s="16" t="n">
        <f aca="false">IF(A1548=A1547,IF(F1548&lt;0,-F1548,0),"")</f>
        <v>0</v>
      </c>
    </row>
    <row r="1549" customFormat="false" ht="15" hidden="false" customHeight="false" outlineLevel="0" collapsed="false">
      <c r="A1549" s="14" t="s">
        <v>105</v>
      </c>
      <c r="B1549" s="15" t="n">
        <v>46219</v>
      </c>
      <c r="C1549" s="14" t="n">
        <v>1741.09</v>
      </c>
      <c r="D1549" s="14" t="n">
        <v>853648</v>
      </c>
      <c r="E1549" s="16" t="n">
        <f aca="false">COUNTIFS($A$2:$A$1561,A1549,$B$2:$B$1561,"&gt;"&amp;B1549)+1</f>
        <v>13</v>
      </c>
      <c r="F1549" s="16" t="n">
        <f aca="false">IF(A1549=A1548,C1549-C1548,"")</f>
        <v>5.03999999999996</v>
      </c>
      <c r="G1549" s="16" t="n">
        <f aca="false">IF(A1549=A1548,IF(F1549&gt;0,F1549,0),"")</f>
        <v>5.03999999999996</v>
      </c>
      <c r="H1549" s="16" t="n">
        <f aca="false">IF(A1549=A1548,IF(F1549&lt;0,-F1549,0),"")</f>
        <v>0</v>
      </c>
    </row>
    <row r="1550" customFormat="false" ht="15" hidden="false" customHeight="false" outlineLevel="0" collapsed="false">
      <c r="A1550" s="14" t="s">
        <v>105</v>
      </c>
      <c r="B1550" s="15" t="n">
        <v>46220</v>
      </c>
      <c r="C1550" s="14" t="n">
        <v>1746.24</v>
      </c>
      <c r="D1550" s="14" t="n">
        <v>509427</v>
      </c>
      <c r="E1550" s="16" t="n">
        <f aca="false">COUNTIFS($A$2:$A$1561,A1550,$B$2:$B$1561,"&gt;"&amp;B1550)+1</f>
        <v>12</v>
      </c>
      <c r="F1550" s="16" t="n">
        <f aca="false">IF(A1550=A1549,C1550-C1549,"")</f>
        <v>5.15000000000009</v>
      </c>
      <c r="G1550" s="16" t="n">
        <f aca="false">IF(A1550=A1549,IF(F1550&gt;0,F1550,0),"")</f>
        <v>5.15000000000009</v>
      </c>
      <c r="H1550" s="16" t="n">
        <f aca="false">IF(A1550=A1549,IF(F1550&lt;0,-F1550,0),"")</f>
        <v>0</v>
      </c>
    </row>
    <row r="1551" customFormat="false" ht="15" hidden="false" customHeight="false" outlineLevel="0" collapsed="false">
      <c r="A1551" s="14" t="s">
        <v>105</v>
      </c>
      <c r="B1551" s="15" t="n">
        <v>46223</v>
      </c>
      <c r="C1551" s="14" t="n">
        <v>1740.07</v>
      </c>
      <c r="D1551" s="14" t="n">
        <v>2022386</v>
      </c>
      <c r="E1551" s="16" t="n">
        <f aca="false">COUNTIFS($A$2:$A$1561,A1551,$B$2:$B$1561,"&gt;"&amp;B1551)+1</f>
        <v>11</v>
      </c>
      <c r="F1551" s="16" t="n">
        <f aca="false">IF(A1551=A1550,C1551-C1550,"")</f>
        <v>-6.17000000000007</v>
      </c>
      <c r="G1551" s="16" t="n">
        <f aca="false">IF(A1551=A1550,IF(F1551&gt;0,F1551,0),"")</f>
        <v>0</v>
      </c>
      <c r="H1551" s="16" t="n">
        <f aca="false">IF(A1551=A1550,IF(F1551&lt;0,-F1551,0),"")</f>
        <v>6.17000000000007</v>
      </c>
    </row>
    <row r="1552" customFormat="false" ht="15" hidden="false" customHeight="false" outlineLevel="0" collapsed="false">
      <c r="A1552" s="14" t="s">
        <v>105</v>
      </c>
      <c r="B1552" s="15" t="n">
        <v>46224</v>
      </c>
      <c r="C1552" s="14" t="n">
        <v>1730.63</v>
      </c>
      <c r="D1552" s="14" t="n">
        <v>2028967</v>
      </c>
      <c r="E1552" s="16" t="n">
        <f aca="false">COUNTIFS($A$2:$A$1561,A1552,$B$2:$B$1561,"&gt;"&amp;B1552)+1</f>
        <v>10</v>
      </c>
      <c r="F1552" s="16" t="n">
        <f aca="false">IF(A1552=A1551,C1552-C1551,"")</f>
        <v>-9.43999999999983</v>
      </c>
      <c r="G1552" s="16" t="n">
        <f aca="false">IF(A1552=A1551,IF(F1552&gt;0,F1552,0),"")</f>
        <v>0</v>
      </c>
      <c r="H1552" s="16" t="n">
        <f aca="false">IF(A1552=A1551,IF(F1552&lt;0,-F1552,0),"")</f>
        <v>9.43999999999983</v>
      </c>
    </row>
    <row r="1553" customFormat="false" ht="15" hidden="false" customHeight="false" outlineLevel="0" collapsed="false">
      <c r="A1553" s="14" t="s">
        <v>105</v>
      </c>
      <c r="B1553" s="15" t="n">
        <v>46225</v>
      </c>
      <c r="C1553" s="14" t="n">
        <v>1731.24</v>
      </c>
      <c r="D1553" s="14" t="n">
        <v>2027138</v>
      </c>
      <c r="E1553" s="16" t="n">
        <f aca="false">COUNTIFS($A$2:$A$1561,A1553,$B$2:$B$1561,"&gt;"&amp;B1553)+1</f>
        <v>9</v>
      </c>
      <c r="F1553" s="16" t="n">
        <f aca="false">IF(A1553=A1552,C1553-C1552,"")</f>
        <v>0.6099999999999</v>
      </c>
      <c r="G1553" s="16" t="n">
        <f aca="false">IF(A1553=A1552,IF(F1553&gt;0,F1553,0),"")</f>
        <v>0.6099999999999</v>
      </c>
      <c r="H1553" s="16" t="n">
        <f aca="false">IF(A1553=A1552,IF(F1553&lt;0,-F1553,0),"")</f>
        <v>0</v>
      </c>
    </row>
    <row r="1554" customFormat="false" ht="15" hidden="false" customHeight="false" outlineLevel="0" collapsed="false">
      <c r="A1554" s="14" t="s">
        <v>105</v>
      </c>
      <c r="B1554" s="15" t="n">
        <v>46226</v>
      </c>
      <c r="C1554" s="14" t="n">
        <v>1719.33</v>
      </c>
      <c r="D1554" s="14" t="n">
        <v>1728959</v>
      </c>
      <c r="E1554" s="16" t="n">
        <f aca="false">COUNTIFS($A$2:$A$1561,A1554,$B$2:$B$1561,"&gt;"&amp;B1554)+1</f>
        <v>8</v>
      </c>
      <c r="F1554" s="16" t="n">
        <f aca="false">IF(A1554=A1553,C1554-C1553,"")</f>
        <v>-11.9100000000001</v>
      </c>
      <c r="G1554" s="16" t="n">
        <f aca="false">IF(A1554=A1553,IF(F1554&gt;0,F1554,0),"")</f>
        <v>0</v>
      </c>
      <c r="H1554" s="16" t="n">
        <f aca="false">IF(A1554=A1553,IF(F1554&lt;0,-F1554,0),"")</f>
        <v>11.9100000000001</v>
      </c>
    </row>
    <row r="1555" customFormat="false" ht="15" hidden="false" customHeight="false" outlineLevel="0" collapsed="false">
      <c r="A1555" s="14" t="s">
        <v>105</v>
      </c>
      <c r="B1555" s="15" t="n">
        <v>46227</v>
      </c>
      <c r="C1555" s="14" t="n">
        <v>1724.39</v>
      </c>
      <c r="D1555" s="14" t="n">
        <v>1306786</v>
      </c>
      <c r="E1555" s="16" t="n">
        <f aca="false">COUNTIFS($A$2:$A$1561,A1555,$B$2:$B$1561,"&gt;"&amp;B1555)+1</f>
        <v>7</v>
      </c>
      <c r="F1555" s="16" t="n">
        <f aca="false">IF(A1555=A1554,C1555-C1554,"")</f>
        <v>5.06000000000017</v>
      </c>
      <c r="G1555" s="16" t="n">
        <f aca="false">IF(A1555=A1554,IF(F1555&gt;0,F1555,0),"")</f>
        <v>5.06000000000017</v>
      </c>
      <c r="H1555" s="16" t="n">
        <f aca="false">IF(A1555=A1554,IF(F1555&lt;0,-F1555,0),"")</f>
        <v>0</v>
      </c>
    </row>
    <row r="1556" customFormat="false" ht="15" hidden="false" customHeight="false" outlineLevel="0" collapsed="false">
      <c r="A1556" s="14" t="s">
        <v>105</v>
      </c>
      <c r="B1556" s="15" t="n">
        <v>46230</v>
      </c>
      <c r="C1556" s="14" t="n">
        <v>1739.77</v>
      </c>
      <c r="D1556" s="14" t="n">
        <v>1266632</v>
      </c>
      <c r="E1556" s="16" t="n">
        <f aca="false">COUNTIFS($A$2:$A$1561,A1556,$B$2:$B$1561,"&gt;"&amp;B1556)+1</f>
        <v>6</v>
      </c>
      <c r="F1556" s="16" t="n">
        <f aca="false">IF(A1556=A1555,C1556-C1555,"")</f>
        <v>15.3799999999999</v>
      </c>
      <c r="G1556" s="16" t="n">
        <f aca="false">IF(A1556=A1555,IF(F1556&gt;0,F1556,0),"")</f>
        <v>15.3799999999999</v>
      </c>
      <c r="H1556" s="16" t="n">
        <f aca="false">IF(A1556=A1555,IF(F1556&lt;0,-F1556,0),"")</f>
        <v>0</v>
      </c>
    </row>
    <row r="1557" customFormat="false" ht="15" hidden="false" customHeight="false" outlineLevel="0" collapsed="false">
      <c r="A1557" s="14" t="s">
        <v>105</v>
      </c>
      <c r="B1557" s="15" t="n">
        <v>46231</v>
      </c>
      <c r="C1557" s="14" t="n">
        <v>1726.23</v>
      </c>
      <c r="D1557" s="14" t="n">
        <v>898828</v>
      </c>
      <c r="E1557" s="16" t="n">
        <f aca="false">COUNTIFS($A$2:$A$1561,A1557,$B$2:$B$1561,"&gt;"&amp;B1557)+1</f>
        <v>5</v>
      </c>
      <c r="F1557" s="16" t="n">
        <f aca="false">IF(A1557=A1556,C1557-C1556,"")</f>
        <v>-13.54</v>
      </c>
      <c r="G1557" s="16" t="n">
        <f aca="false">IF(A1557=A1556,IF(F1557&gt;0,F1557,0),"")</f>
        <v>0</v>
      </c>
      <c r="H1557" s="16" t="n">
        <f aca="false">IF(A1557=A1556,IF(F1557&lt;0,-F1557,0),"")</f>
        <v>13.54</v>
      </c>
    </row>
    <row r="1558" customFormat="false" ht="15" hidden="false" customHeight="false" outlineLevel="0" collapsed="false">
      <c r="A1558" s="14" t="s">
        <v>105</v>
      </c>
      <c r="B1558" s="15" t="n">
        <v>46232</v>
      </c>
      <c r="C1558" s="14" t="n">
        <v>1723.22</v>
      </c>
      <c r="D1558" s="14" t="n">
        <v>528154</v>
      </c>
      <c r="E1558" s="16" t="n">
        <f aca="false">COUNTIFS($A$2:$A$1561,A1558,$B$2:$B$1561,"&gt;"&amp;B1558)+1</f>
        <v>4</v>
      </c>
      <c r="F1558" s="16" t="n">
        <f aca="false">IF(A1558=A1557,C1558-C1557,"")</f>
        <v>-3.00999999999999</v>
      </c>
      <c r="G1558" s="16" t="n">
        <f aca="false">IF(A1558=A1557,IF(F1558&gt;0,F1558,0),"")</f>
        <v>0</v>
      </c>
      <c r="H1558" s="16" t="n">
        <f aca="false">IF(A1558=A1557,IF(F1558&lt;0,-F1558,0),"")</f>
        <v>3.00999999999999</v>
      </c>
    </row>
    <row r="1559" customFormat="false" ht="15" hidden="false" customHeight="false" outlineLevel="0" collapsed="false">
      <c r="A1559" s="14" t="s">
        <v>105</v>
      </c>
      <c r="B1559" s="15" t="n">
        <v>46233</v>
      </c>
      <c r="C1559" s="14" t="n">
        <v>1718.64</v>
      </c>
      <c r="D1559" s="14" t="n">
        <v>2166457</v>
      </c>
      <c r="E1559" s="16" t="n">
        <f aca="false">COUNTIFS($A$2:$A$1561,A1559,$B$2:$B$1561,"&gt;"&amp;B1559)+1</f>
        <v>3</v>
      </c>
      <c r="F1559" s="16" t="n">
        <f aca="false">IF(A1559=A1558,C1559-C1558,"")</f>
        <v>-4.57999999999993</v>
      </c>
      <c r="G1559" s="16" t="n">
        <f aca="false">IF(A1559=A1558,IF(F1559&gt;0,F1559,0),"")</f>
        <v>0</v>
      </c>
      <c r="H1559" s="16" t="n">
        <f aca="false">IF(A1559=A1558,IF(F1559&lt;0,-F1559,0),"")</f>
        <v>4.57999999999993</v>
      </c>
    </row>
    <row r="1560" customFormat="false" ht="15" hidden="false" customHeight="false" outlineLevel="0" collapsed="false">
      <c r="A1560" s="14" t="s">
        <v>105</v>
      </c>
      <c r="B1560" s="15" t="n">
        <v>46234</v>
      </c>
      <c r="C1560" s="14" t="n">
        <v>1709.99</v>
      </c>
      <c r="D1560" s="14" t="n">
        <v>1853496</v>
      </c>
      <c r="E1560" s="16" t="n">
        <f aca="false">COUNTIFS($A$2:$A$1561,A1560,$B$2:$B$1561,"&gt;"&amp;B1560)+1</f>
        <v>2</v>
      </c>
      <c r="F1560" s="16" t="n">
        <f aca="false">IF(A1560=A1559,C1560-C1559,"")</f>
        <v>-8.65000000000009</v>
      </c>
      <c r="G1560" s="16" t="n">
        <f aca="false">IF(A1560=A1559,IF(F1560&gt;0,F1560,0),"")</f>
        <v>0</v>
      </c>
      <c r="H1560" s="16" t="n">
        <f aca="false">IF(A1560=A1559,IF(F1560&lt;0,-F1560,0),"")</f>
        <v>8.65000000000009</v>
      </c>
    </row>
    <row r="1561" customFormat="false" ht="15" hidden="false" customHeight="false" outlineLevel="0" collapsed="false">
      <c r="A1561" s="14" t="s">
        <v>105</v>
      </c>
      <c r="B1561" s="15" t="n">
        <v>46237</v>
      </c>
      <c r="C1561" s="14" t="n">
        <v>1714.81</v>
      </c>
      <c r="D1561" s="14" t="n">
        <v>997646</v>
      </c>
      <c r="E1561" s="16" t="n">
        <f aca="false">COUNTIFS($A$2:$A$1561,A1561,$B$2:$B$1561,"&gt;"&amp;B1561)+1</f>
        <v>1</v>
      </c>
      <c r="F1561" s="16" t="n">
        <f aca="false">IF(A1561=A1560,C1561-C1560,"")</f>
        <v>4.81999999999994</v>
      </c>
      <c r="G1561" s="16" t="n">
        <f aca="false">IF(A1561=A1560,IF(F1561&gt;0,F1561,0),"")</f>
        <v>4.81999999999994</v>
      </c>
      <c r="H1561" s="16" t="n">
        <f aca="false">IF(A1561=A1560,IF(F1561&lt;0,-F1561,0),"")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</cols>
  <sheetData>
    <row r="1" customFormat="false" ht="15" hidden="false" customHeight="false" outlineLevel="0" collapsed="false">
      <c r="A1" s="13" t="s">
        <v>141</v>
      </c>
      <c r="B1" s="13" t="s">
        <v>142</v>
      </c>
      <c r="C1" s="13" t="s">
        <v>144</v>
      </c>
    </row>
    <row r="2" customFormat="false" ht="15" hidden="false" customHeight="false" outlineLevel="0" collapsed="false">
      <c r="A2" s="15" t="n">
        <v>45874</v>
      </c>
      <c r="B2" s="14" t="n">
        <v>24061.5</v>
      </c>
      <c r="C2" s="16" t="n">
        <f aca="false">COUNTIFS($A$2:$A$261,"&gt;"&amp;A2)+1</f>
        <v>260</v>
      </c>
    </row>
    <row r="3" customFormat="false" ht="15" hidden="false" customHeight="false" outlineLevel="0" collapsed="false">
      <c r="A3" s="15" t="n">
        <v>45875</v>
      </c>
      <c r="B3" s="14" t="n">
        <v>24022.33</v>
      </c>
      <c r="C3" s="16" t="n">
        <f aca="false">COUNTIFS($A$2:$A$261,"&gt;"&amp;A3)+1</f>
        <v>259</v>
      </c>
    </row>
    <row r="4" customFormat="false" ht="15" hidden="false" customHeight="false" outlineLevel="0" collapsed="false">
      <c r="A4" s="15" t="n">
        <v>45876</v>
      </c>
      <c r="B4" s="14" t="n">
        <v>23921.13</v>
      </c>
      <c r="C4" s="16" t="n">
        <f aca="false">COUNTIFS($A$2:$A$261,"&gt;"&amp;A4)+1</f>
        <v>258</v>
      </c>
    </row>
    <row r="5" customFormat="false" ht="15" hidden="false" customHeight="false" outlineLevel="0" collapsed="false">
      <c r="A5" s="15" t="n">
        <v>45877</v>
      </c>
      <c r="B5" s="14" t="n">
        <v>23893.44</v>
      </c>
      <c r="C5" s="16" t="n">
        <f aca="false">COUNTIFS($A$2:$A$261,"&gt;"&amp;A5)+1</f>
        <v>257</v>
      </c>
    </row>
    <row r="6" customFormat="false" ht="15" hidden="false" customHeight="false" outlineLevel="0" collapsed="false">
      <c r="A6" s="15" t="n">
        <v>45880</v>
      </c>
      <c r="B6" s="14" t="n">
        <v>23924.6</v>
      </c>
      <c r="C6" s="16" t="n">
        <f aca="false">COUNTIFS($A$2:$A$261,"&gt;"&amp;A6)+1</f>
        <v>256</v>
      </c>
    </row>
    <row r="7" customFormat="false" ht="15" hidden="false" customHeight="false" outlineLevel="0" collapsed="false">
      <c r="A7" s="15" t="n">
        <v>45881</v>
      </c>
      <c r="B7" s="14" t="n">
        <v>23834.74</v>
      </c>
      <c r="C7" s="16" t="n">
        <f aca="false">COUNTIFS($A$2:$A$261,"&gt;"&amp;A7)+1</f>
        <v>255</v>
      </c>
    </row>
    <row r="8" customFormat="false" ht="15" hidden="false" customHeight="false" outlineLevel="0" collapsed="false">
      <c r="A8" s="15" t="n">
        <v>45882</v>
      </c>
      <c r="B8" s="14" t="n">
        <v>23933.09</v>
      </c>
      <c r="C8" s="16" t="n">
        <f aca="false">COUNTIFS($A$2:$A$261,"&gt;"&amp;A8)+1</f>
        <v>254</v>
      </c>
    </row>
    <row r="9" customFormat="false" ht="15" hidden="false" customHeight="false" outlineLevel="0" collapsed="false">
      <c r="A9" s="15" t="n">
        <v>45883</v>
      </c>
      <c r="B9" s="14" t="n">
        <v>23880.88</v>
      </c>
      <c r="C9" s="16" t="n">
        <f aca="false">COUNTIFS($A$2:$A$261,"&gt;"&amp;A9)+1</f>
        <v>253</v>
      </c>
    </row>
    <row r="10" customFormat="false" ht="15" hidden="false" customHeight="false" outlineLevel="0" collapsed="false">
      <c r="A10" s="15" t="n">
        <v>45884</v>
      </c>
      <c r="B10" s="14" t="n">
        <v>23826.66</v>
      </c>
      <c r="C10" s="16" t="n">
        <f aca="false">COUNTIFS($A$2:$A$261,"&gt;"&amp;A10)+1</f>
        <v>252</v>
      </c>
    </row>
    <row r="11" customFormat="false" ht="15" hidden="false" customHeight="false" outlineLevel="0" collapsed="false">
      <c r="A11" s="15" t="n">
        <v>45887</v>
      </c>
      <c r="B11" s="14" t="n">
        <v>23897.53</v>
      </c>
      <c r="C11" s="16" t="n">
        <f aca="false">COUNTIFS($A$2:$A$261,"&gt;"&amp;A11)+1</f>
        <v>251</v>
      </c>
    </row>
    <row r="12" customFormat="false" ht="15" hidden="false" customHeight="false" outlineLevel="0" collapsed="false">
      <c r="A12" s="15" t="n">
        <v>45888</v>
      </c>
      <c r="B12" s="14" t="n">
        <v>23930.9</v>
      </c>
      <c r="C12" s="16" t="n">
        <f aca="false">COUNTIFS($A$2:$A$261,"&gt;"&amp;A12)+1</f>
        <v>250</v>
      </c>
    </row>
    <row r="13" customFormat="false" ht="15" hidden="false" customHeight="false" outlineLevel="0" collapsed="false">
      <c r="A13" s="15" t="n">
        <v>45889</v>
      </c>
      <c r="B13" s="14" t="n">
        <v>23890.07</v>
      </c>
      <c r="C13" s="16" t="n">
        <f aca="false">COUNTIFS($A$2:$A$261,"&gt;"&amp;A13)+1</f>
        <v>249</v>
      </c>
    </row>
    <row r="14" customFormat="false" ht="15" hidden="false" customHeight="false" outlineLevel="0" collapsed="false">
      <c r="A14" s="15" t="n">
        <v>45890</v>
      </c>
      <c r="B14" s="14" t="n">
        <v>24007.03</v>
      </c>
      <c r="C14" s="16" t="n">
        <f aca="false">COUNTIFS($A$2:$A$261,"&gt;"&amp;A14)+1</f>
        <v>248</v>
      </c>
    </row>
    <row r="15" customFormat="false" ht="15" hidden="false" customHeight="false" outlineLevel="0" collapsed="false">
      <c r="A15" s="15" t="n">
        <v>45891</v>
      </c>
      <c r="B15" s="14" t="n">
        <v>24155.53</v>
      </c>
      <c r="C15" s="16" t="n">
        <f aca="false">COUNTIFS($A$2:$A$261,"&gt;"&amp;A15)+1</f>
        <v>247</v>
      </c>
    </row>
    <row r="16" customFormat="false" ht="15" hidden="false" customHeight="false" outlineLevel="0" collapsed="false">
      <c r="A16" s="15" t="n">
        <v>45894</v>
      </c>
      <c r="B16" s="14" t="n">
        <v>24115.74</v>
      </c>
      <c r="C16" s="16" t="n">
        <f aca="false">COUNTIFS($A$2:$A$261,"&gt;"&amp;A16)+1</f>
        <v>246</v>
      </c>
    </row>
    <row r="17" customFormat="false" ht="15" hidden="false" customHeight="false" outlineLevel="0" collapsed="false">
      <c r="A17" s="15" t="n">
        <v>45895</v>
      </c>
      <c r="B17" s="14" t="n">
        <v>24237.68</v>
      </c>
      <c r="C17" s="16" t="n">
        <f aca="false">COUNTIFS($A$2:$A$261,"&gt;"&amp;A17)+1</f>
        <v>245</v>
      </c>
    </row>
    <row r="18" customFormat="false" ht="15" hidden="false" customHeight="false" outlineLevel="0" collapsed="false">
      <c r="A18" s="15" t="n">
        <v>45896</v>
      </c>
      <c r="B18" s="14" t="n">
        <v>24202.56</v>
      </c>
      <c r="C18" s="16" t="n">
        <f aca="false">COUNTIFS($A$2:$A$261,"&gt;"&amp;A18)+1</f>
        <v>244</v>
      </c>
    </row>
    <row r="19" customFormat="false" ht="15" hidden="false" customHeight="false" outlineLevel="0" collapsed="false">
      <c r="A19" s="15" t="n">
        <v>45897</v>
      </c>
      <c r="B19" s="14" t="n">
        <v>24117.88</v>
      </c>
      <c r="C19" s="16" t="n">
        <f aca="false">COUNTIFS($A$2:$A$261,"&gt;"&amp;A19)+1</f>
        <v>243</v>
      </c>
    </row>
    <row r="20" customFormat="false" ht="15" hidden="false" customHeight="false" outlineLevel="0" collapsed="false">
      <c r="A20" s="15" t="n">
        <v>45898</v>
      </c>
      <c r="B20" s="14" t="n">
        <v>24253.35</v>
      </c>
      <c r="C20" s="16" t="n">
        <f aca="false">COUNTIFS($A$2:$A$261,"&gt;"&amp;A20)+1</f>
        <v>242</v>
      </c>
    </row>
    <row r="21" customFormat="false" ht="15" hidden="false" customHeight="false" outlineLevel="0" collapsed="false">
      <c r="A21" s="15" t="n">
        <v>45901</v>
      </c>
      <c r="B21" s="14" t="n">
        <v>24380.89</v>
      </c>
      <c r="C21" s="16" t="n">
        <f aca="false">COUNTIFS($A$2:$A$261,"&gt;"&amp;A21)+1</f>
        <v>241</v>
      </c>
    </row>
    <row r="22" customFormat="false" ht="15" hidden="false" customHeight="false" outlineLevel="0" collapsed="false">
      <c r="A22" s="15" t="n">
        <v>45902</v>
      </c>
      <c r="B22" s="14" t="n">
        <v>24358.47</v>
      </c>
      <c r="C22" s="16" t="n">
        <f aca="false">COUNTIFS($A$2:$A$261,"&gt;"&amp;A22)+1</f>
        <v>240</v>
      </c>
    </row>
    <row r="23" customFormat="false" ht="15" hidden="false" customHeight="false" outlineLevel="0" collapsed="false">
      <c r="A23" s="15" t="n">
        <v>45903</v>
      </c>
      <c r="B23" s="14" t="n">
        <v>24284.94</v>
      </c>
      <c r="C23" s="16" t="n">
        <f aca="false">COUNTIFS($A$2:$A$261,"&gt;"&amp;A23)+1</f>
        <v>239</v>
      </c>
    </row>
    <row r="24" customFormat="false" ht="15" hidden="false" customHeight="false" outlineLevel="0" collapsed="false">
      <c r="A24" s="15" t="n">
        <v>45904</v>
      </c>
      <c r="B24" s="14" t="n">
        <v>24356.97</v>
      </c>
      <c r="C24" s="16" t="n">
        <f aca="false">COUNTIFS($A$2:$A$261,"&gt;"&amp;A24)+1</f>
        <v>238</v>
      </c>
    </row>
    <row r="25" customFormat="false" ht="15" hidden="false" customHeight="false" outlineLevel="0" collapsed="false">
      <c r="A25" s="15" t="n">
        <v>45905</v>
      </c>
      <c r="B25" s="14" t="n">
        <v>24255.02</v>
      </c>
      <c r="C25" s="16" t="n">
        <f aca="false">COUNTIFS($A$2:$A$261,"&gt;"&amp;A25)+1</f>
        <v>237</v>
      </c>
    </row>
    <row r="26" customFormat="false" ht="15" hidden="false" customHeight="false" outlineLevel="0" collapsed="false">
      <c r="A26" s="15" t="n">
        <v>45908</v>
      </c>
      <c r="B26" s="14" t="n">
        <v>24328.97</v>
      </c>
      <c r="C26" s="16" t="n">
        <f aca="false">COUNTIFS($A$2:$A$261,"&gt;"&amp;A26)+1</f>
        <v>236</v>
      </c>
    </row>
    <row r="27" customFormat="false" ht="15" hidden="false" customHeight="false" outlineLevel="0" collapsed="false">
      <c r="A27" s="15" t="n">
        <v>45909</v>
      </c>
      <c r="B27" s="14" t="n">
        <v>24361</v>
      </c>
      <c r="C27" s="16" t="n">
        <f aca="false">COUNTIFS($A$2:$A$261,"&gt;"&amp;A27)+1</f>
        <v>235</v>
      </c>
    </row>
    <row r="28" customFormat="false" ht="15" hidden="false" customHeight="false" outlineLevel="0" collapsed="false">
      <c r="A28" s="15" t="n">
        <v>45910</v>
      </c>
      <c r="B28" s="14" t="n">
        <v>24270.08</v>
      </c>
      <c r="C28" s="16" t="n">
        <f aca="false">COUNTIFS($A$2:$A$261,"&gt;"&amp;A28)+1</f>
        <v>234</v>
      </c>
    </row>
    <row r="29" customFormat="false" ht="15" hidden="false" customHeight="false" outlineLevel="0" collapsed="false">
      <c r="A29" s="15" t="n">
        <v>45911</v>
      </c>
      <c r="B29" s="14" t="n">
        <v>24237.05</v>
      </c>
      <c r="C29" s="16" t="n">
        <f aca="false">COUNTIFS($A$2:$A$261,"&gt;"&amp;A29)+1</f>
        <v>233</v>
      </c>
    </row>
    <row r="30" customFormat="false" ht="15" hidden="false" customHeight="false" outlineLevel="0" collapsed="false">
      <c r="A30" s="15" t="n">
        <v>45912</v>
      </c>
      <c r="B30" s="14" t="n">
        <v>24286.65</v>
      </c>
      <c r="C30" s="16" t="n">
        <f aca="false">COUNTIFS($A$2:$A$261,"&gt;"&amp;A30)+1</f>
        <v>232</v>
      </c>
    </row>
    <row r="31" customFormat="false" ht="15" hidden="false" customHeight="false" outlineLevel="0" collapsed="false">
      <c r="A31" s="15" t="n">
        <v>45915</v>
      </c>
      <c r="B31" s="14" t="n">
        <v>24157.65</v>
      </c>
      <c r="C31" s="16" t="n">
        <f aca="false">COUNTIFS($A$2:$A$261,"&gt;"&amp;A31)+1</f>
        <v>231</v>
      </c>
    </row>
    <row r="32" customFormat="false" ht="15" hidden="false" customHeight="false" outlineLevel="0" collapsed="false">
      <c r="A32" s="15" t="n">
        <v>45916</v>
      </c>
      <c r="B32" s="14" t="n">
        <v>24272.6</v>
      </c>
      <c r="C32" s="16" t="n">
        <f aca="false">COUNTIFS($A$2:$A$261,"&gt;"&amp;A32)+1</f>
        <v>230</v>
      </c>
    </row>
    <row r="33" customFormat="false" ht="15" hidden="false" customHeight="false" outlineLevel="0" collapsed="false">
      <c r="A33" s="15" t="n">
        <v>45917</v>
      </c>
      <c r="B33" s="14" t="n">
        <v>24207.29</v>
      </c>
      <c r="C33" s="16" t="n">
        <f aca="false">COUNTIFS($A$2:$A$261,"&gt;"&amp;A33)+1</f>
        <v>229</v>
      </c>
    </row>
    <row r="34" customFormat="false" ht="15" hidden="false" customHeight="false" outlineLevel="0" collapsed="false">
      <c r="A34" s="15" t="n">
        <v>45918</v>
      </c>
      <c r="B34" s="14" t="n">
        <v>24223.19</v>
      </c>
      <c r="C34" s="16" t="n">
        <f aca="false">COUNTIFS($A$2:$A$261,"&gt;"&amp;A34)+1</f>
        <v>228</v>
      </c>
    </row>
    <row r="35" customFormat="false" ht="15" hidden="false" customHeight="false" outlineLevel="0" collapsed="false">
      <c r="A35" s="15" t="n">
        <v>45919</v>
      </c>
      <c r="B35" s="14" t="n">
        <v>24097.79</v>
      </c>
      <c r="C35" s="16" t="n">
        <f aca="false">COUNTIFS($A$2:$A$261,"&gt;"&amp;A35)+1</f>
        <v>227</v>
      </c>
    </row>
    <row r="36" customFormat="false" ht="15" hidden="false" customHeight="false" outlineLevel="0" collapsed="false">
      <c r="A36" s="15" t="n">
        <v>45922</v>
      </c>
      <c r="B36" s="14" t="n">
        <v>24246.62</v>
      </c>
      <c r="C36" s="16" t="n">
        <f aca="false">COUNTIFS($A$2:$A$261,"&gt;"&amp;A36)+1</f>
        <v>226</v>
      </c>
    </row>
    <row r="37" customFormat="false" ht="15" hidden="false" customHeight="false" outlineLevel="0" collapsed="false">
      <c r="A37" s="15" t="n">
        <v>45923</v>
      </c>
      <c r="B37" s="14" t="n">
        <v>24299.57</v>
      </c>
      <c r="C37" s="16" t="n">
        <f aca="false">COUNTIFS($A$2:$A$261,"&gt;"&amp;A37)+1</f>
        <v>225</v>
      </c>
    </row>
    <row r="38" customFormat="false" ht="15" hidden="false" customHeight="false" outlineLevel="0" collapsed="false">
      <c r="A38" s="15" t="n">
        <v>45924</v>
      </c>
      <c r="B38" s="14" t="n">
        <v>24350.18</v>
      </c>
      <c r="C38" s="16" t="n">
        <f aca="false">COUNTIFS($A$2:$A$261,"&gt;"&amp;A38)+1</f>
        <v>224</v>
      </c>
    </row>
    <row r="39" customFormat="false" ht="15" hidden="false" customHeight="false" outlineLevel="0" collapsed="false">
      <c r="A39" s="15" t="n">
        <v>45925</v>
      </c>
      <c r="B39" s="14" t="n">
        <v>24215.69</v>
      </c>
      <c r="C39" s="16" t="n">
        <f aca="false">COUNTIFS($A$2:$A$261,"&gt;"&amp;A39)+1</f>
        <v>223</v>
      </c>
    </row>
    <row r="40" customFormat="false" ht="15" hidden="false" customHeight="false" outlineLevel="0" collapsed="false">
      <c r="A40" s="15" t="n">
        <v>45926</v>
      </c>
      <c r="B40" s="14" t="n">
        <v>24276.64</v>
      </c>
      <c r="C40" s="16" t="n">
        <f aca="false">COUNTIFS($A$2:$A$261,"&gt;"&amp;A40)+1</f>
        <v>222</v>
      </c>
    </row>
    <row r="41" customFormat="false" ht="15" hidden="false" customHeight="false" outlineLevel="0" collapsed="false">
      <c r="A41" s="15" t="n">
        <v>45929</v>
      </c>
      <c r="B41" s="14" t="n">
        <v>24258.22</v>
      </c>
      <c r="C41" s="16" t="n">
        <f aca="false">COUNTIFS($A$2:$A$261,"&gt;"&amp;A41)+1</f>
        <v>221</v>
      </c>
    </row>
    <row r="42" customFormat="false" ht="15" hidden="false" customHeight="false" outlineLevel="0" collapsed="false">
      <c r="A42" s="15" t="n">
        <v>45930</v>
      </c>
      <c r="B42" s="14" t="n">
        <v>24229.19</v>
      </c>
      <c r="C42" s="16" t="n">
        <f aca="false">COUNTIFS($A$2:$A$261,"&gt;"&amp;A42)+1</f>
        <v>220</v>
      </c>
    </row>
    <row r="43" customFormat="false" ht="15" hidden="false" customHeight="false" outlineLevel="0" collapsed="false">
      <c r="A43" s="15" t="n">
        <v>45931</v>
      </c>
      <c r="B43" s="14" t="n">
        <v>24248.75</v>
      </c>
      <c r="C43" s="16" t="n">
        <f aca="false">COUNTIFS($A$2:$A$261,"&gt;"&amp;A43)+1</f>
        <v>219</v>
      </c>
    </row>
    <row r="44" customFormat="false" ht="15" hidden="false" customHeight="false" outlineLevel="0" collapsed="false">
      <c r="A44" s="15" t="n">
        <v>45932</v>
      </c>
      <c r="B44" s="14" t="n">
        <v>24247.12</v>
      </c>
      <c r="C44" s="16" t="n">
        <f aca="false">COUNTIFS($A$2:$A$261,"&gt;"&amp;A44)+1</f>
        <v>218</v>
      </c>
    </row>
    <row r="45" customFormat="false" ht="15" hidden="false" customHeight="false" outlineLevel="0" collapsed="false">
      <c r="A45" s="15" t="n">
        <v>45933</v>
      </c>
      <c r="B45" s="14" t="n">
        <v>24152.01</v>
      </c>
      <c r="C45" s="16" t="n">
        <f aca="false">COUNTIFS($A$2:$A$261,"&gt;"&amp;A45)+1</f>
        <v>217</v>
      </c>
    </row>
    <row r="46" customFormat="false" ht="15" hidden="false" customHeight="false" outlineLevel="0" collapsed="false">
      <c r="A46" s="15" t="n">
        <v>45936</v>
      </c>
      <c r="B46" s="14" t="n">
        <v>24214.38</v>
      </c>
      <c r="C46" s="16" t="n">
        <f aca="false">COUNTIFS($A$2:$A$261,"&gt;"&amp;A46)+1</f>
        <v>216</v>
      </c>
    </row>
    <row r="47" customFormat="false" ht="15" hidden="false" customHeight="false" outlineLevel="0" collapsed="false">
      <c r="A47" s="15" t="n">
        <v>45937</v>
      </c>
      <c r="B47" s="14" t="n">
        <v>24258.05</v>
      </c>
      <c r="C47" s="16" t="n">
        <f aca="false">COUNTIFS($A$2:$A$261,"&gt;"&amp;A47)+1</f>
        <v>215</v>
      </c>
    </row>
    <row r="48" customFormat="false" ht="15" hidden="false" customHeight="false" outlineLevel="0" collapsed="false">
      <c r="A48" s="15" t="n">
        <v>45938</v>
      </c>
      <c r="B48" s="14" t="n">
        <v>24205.98</v>
      </c>
      <c r="C48" s="16" t="n">
        <f aca="false">COUNTIFS($A$2:$A$261,"&gt;"&amp;A48)+1</f>
        <v>214</v>
      </c>
    </row>
    <row r="49" customFormat="false" ht="15" hidden="false" customHeight="false" outlineLevel="0" collapsed="false">
      <c r="A49" s="15" t="n">
        <v>45939</v>
      </c>
      <c r="B49" s="14" t="n">
        <v>24258.75</v>
      </c>
      <c r="C49" s="16" t="n">
        <f aca="false">COUNTIFS($A$2:$A$261,"&gt;"&amp;A49)+1</f>
        <v>213</v>
      </c>
    </row>
    <row r="50" customFormat="false" ht="15" hidden="false" customHeight="false" outlineLevel="0" collapsed="false">
      <c r="A50" s="15" t="n">
        <v>45940</v>
      </c>
      <c r="B50" s="14" t="n">
        <v>24311.87</v>
      </c>
      <c r="C50" s="16" t="n">
        <f aca="false">COUNTIFS($A$2:$A$261,"&gt;"&amp;A50)+1</f>
        <v>212</v>
      </c>
    </row>
    <row r="51" customFormat="false" ht="15" hidden="false" customHeight="false" outlineLevel="0" collapsed="false">
      <c r="A51" s="15" t="n">
        <v>45943</v>
      </c>
      <c r="B51" s="14" t="n">
        <v>24250.6</v>
      </c>
      <c r="C51" s="16" t="n">
        <f aca="false">COUNTIFS($A$2:$A$261,"&gt;"&amp;A51)+1</f>
        <v>211</v>
      </c>
    </row>
    <row r="52" customFormat="false" ht="15" hidden="false" customHeight="false" outlineLevel="0" collapsed="false">
      <c r="A52" s="15" t="n">
        <v>45944</v>
      </c>
      <c r="B52" s="14" t="n">
        <v>24287.16</v>
      </c>
      <c r="C52" s="16" t="n">
        <f aca="false">COUNTIFS($A$2:$A$261,"&gt;"&amp;A52)+1</f>
        <v>210</v>
      </c>
    </row>
    <row r="53" customFormat="false" ht="15" hidden="false" customHeight="false" outlineLevel="0" collapsed="false">
      <c r="A53" s="15" t="n">
        <v>45945</v>
      </c>
      <c r="B53" s="14" t="n">
        <v>24187.24</v>
      </c>
      <c r="C53" s="16" t="n">
        <f aca="false">COUNTIFS($A$2:$A$261,"&gt;"&amp;A53)+1</f>
        <v>209</v>
      </c>
    </row>
    <row r="54" customFormat="false" ht="15" hidden="false" customHeight="false" outlineLevel="0" collapsed="false">
      <c r="A54" s="15" t="n">
        <v>45946</v>
      </c>
      <c r="B54" s="14" t="n">
        <v>24289.02</v>
      </c>
      <c r="C54" s="16" t="n">
        <f aca="false">COUNTIFS($A$2:$A$261,"&gt;"&amp;A54)+1</f>
        <v>208</v>
      </c>
    </row>
    <row r="55" customFormat="false" ht="15" hidden="false" customHeight="false" outlineLevel="0" collapsed="false">
      <c r="A55" s="15" t="n">
        <v>45947</v>
      </c>
      <c r="B55" s="14" t="n">
        <v>24179.69</v>
      </c>
      <c r="C55" s="16" t="n">
        <f aca="false">COUNTIFS($A$2:$A$261,"&gt;"&amp;A55)+1</f>
        <v>207</v>
      </c>
    </row>
    <row r="56" customFormat="false" ht="15" hidden="false" customHeight="false" outlineLevel="0" collapsed="false">
      <c r="A56" s="15" t="n">
        <v>45950</v>
      </c>
      <c r="B56" s="14" t="n">
        <v>24248.97</v>
      </c>
      <c r="C56" s="16" t="n">
        <f aca="false">COUNTIFS($A$2:$A$261,"&gt;"&amp;A56)+1</f>
        <v>206</v>
      </c>
    </row>
    <row r="57" customFormat="false" ht="15" hidden="false" customHeight="false" outlineLevel="0" collapsed="false">
      <c r="A57" s="15" t="n">
        <v>45951</v>
      </c>
      <c r="B57" s="14" t="n">
        <v>24143.56</v>
      </c>
      <c r="C57" s="16" t="n">
        <f aca="false">COUNTIFS($A$2:$A$261,"&gt;"&amp;A57)+1</f>
        <v>205</v>
      </c>
    </row>
    <row r="58" customFormat="false" ht="15" hidden="false" customHeight="false" outlineLevel="0" collapsed="false">
      <c r="A58" s="15" t="n">
        <v>45952</v>
      </c>
      <c r="B58" s="14" t="n">
        <v>24037.52</v>
      </c>
      <c r="C58" s="16" t="n">
        <f aca="false">COUNTIFS($A$2:$A$261,"&gt;"&amp;A58)+1</f>
        <v>204</v>
      </c>
    </row>
    <row r="59" customFormat="false" ht="15" hidden="false" customHeight="false" outlineLevel="0" collapsed="false">
      <c r="A59" s="15" t="n">
        <v>45953</v>
      </c>
      <c r="B59" s="14" t="n">
        <v>23929.72</v>
      </c>
      <c r="C59" s="16" t="n">
        <f aca="false">COUNTIFS($A$2:$A$261,"&gt;"&amp;A59)+1</f>
        <v>203</v>
      </c>
    </row>
    <row r="60" customFormat="false" ht="15" hidden="false" customHeight="false" outlineLevel="0" collapsed="false">
      <c r="A60" s="15" t="n">
        <v>45954</v>
      </c>
      <c r="B60" s="14" t="n">
        <v>23848.93</v>
      </c>
      <c r="C60" s="16" t="n">
        <f aca="false">COUNTIFS($A$2:$A$261,"&gt;"&amp;A60)+1</f>
        <v>202</v>
      </c>
    </row>
    <row r="61" customFormat="false" ht="15" hidden="false" customHeight="false" outlineLevel="0" collapsed="false">
      <c r="A61" s="15" t="n">
        <v>45957</v>
      </c>
      <c r="B61" s="14" t="n">
        <v>23768.72</v>
      </c>
      <c r="C61" s="16" t="n">
        <f aca="false">COUNTIFS($A$2:$A$261,"&gt;"&amp;A61)+1</f>
        <v>201</v>
      </c>
    </row>
    <row r="62" customFormat="false" ht="15" hidden="false" customHeight="false" outlineLevel="0" collapsed="false">
      <c r="A62" s="15" t="n">
        <v>45958</v>
      </c>
      <c r="B62" s="14" t="n">
        <v>23706.83</v>
      </c>
      <c r="C62" s="16" t="n">
        <f aca="false">COUNTIFS($A$2:$A$261,"&gt;"&amp;A62)+1</f>
        <v>200</v>
      </c>
    </row>
    <row r="63" customFormat="false" ht="15" hidden="false" customHeight="false" outlineLevel="0" collapsed="false">
      <c r="A63" s="15" t="n">
        <v>45959</v>
      </c>
      <c r="B63" s="14" t="n">
        <v>23719.1</v>
      </c>
      <c r="C63" s="16" t="n">
        <f aca="false">COUNTIFS($A$2:$A$261,"&gt;"&amp;A63)+1</f>
        <v>199</v>
      </c>
    </row>
    <row r="64" customFormat="false" ht="15" hidden="false" customHeight="false" outlineLevel="0" collapsed="false">
      <c r="A64" s="15" t="n">
        <v>45960</v>
      </c>
      <c r="B64" s="14" t="n">
        <v>23639.88</v>
      </c>
      <c r="C64" s="16" t="n">
        <f aca="false">COUNTIFS($A$2:$A$261,"&gt;"&amp;A64)+1</f>
        <v>198</v>
      </c>
    </row>
    <row r="65" customFormat="false" ht="15" hidden="false" customHeight="false" outlineLevel="0" collapsed="false">
      <c r="A65" s="15" t="n">
        <v>45961</v>
      </c>
      <c r="B65" s="14" t="n">
        <v>23703.26</v>
      </c>
      <c r="C65" s="16" t="n">
        <f aca="false">COUNTIFS($A$2:$A$261,"&gt;"&amp;A65)+1</f>
        <v>197</v>
      </c>
    </row>
    <row r="66" customFormat="false" ht="15" hidden="false" customHeight="false" outlineLevel="0" collapsed="false">
      <c r="A66" s="15" t="n">
        <v>45964</v>
      </c>
      <c r="B66" s="14" t="n">
        <v>23650.74</v>
      </c>
      <c r="C66" s="16" t="n">
        <f aca="false">COUNTIFS($A$2:$A$261,"&gt;"&amp;A66)+1</f>
        <v>196</v>
      </c>
    </row>
    <row r="67" customFormat="false" ht="15" hidden="false" customHeight="false" outlineLevel="0" collapsed="false">
      <c r="A67" s="15" t="n">
        <v>45965</v>
      </c>
      <c r="B67" s="14" t="n">
        <v>23525.7</v>
      </c>
      <c r="C67" s="16" t="n">
        <f aca="false">COUNTIFS($A$2:$A$261,"&gt;"&amp;A67)+1</f>
        <v>195</v>
      </c>
    </row>
    <row r="68" customFormat="false" ht="15" hidden="false" customHeight="false" outlineLevel="0" collapsed="false">
      <c r="A68" s="15" t="n">
        <v>45966</v>
      </c>
      <c r="B68" s="14" t="n">
        <v>23530.32</v>
      </c>
      <c r="C68" s="16" t="n">
        <f aca="false">COUNTIFS($A$2:$A$261,"&gt;"&amp;A68)+1</f>
        <v>194</v>
      </c>
    </row>
    <row r="69" customFormat="false" ht="15" hidden="false" customHeight="false" outlineLevel="0" collapsed="false">
      <c r="A69" s="15" t="n">
        <v>45967</v>
      </c>
      <c r="B69" s="14" t="n">
        <v>23453.43</v>
      </c>
      <c r="C69" s="16" t="n">
        <f aca="false">COUNTIFS($A$2:$A$261,"&gt;"&amp;A69)+1</f>
        <v>193</v>
      </c>
    </row>
    <row r="70" customFormat="false" ht="15" hidden="false" customHeight="false" outlineLevel="0" collapsed="false">
      <c r="A70" s="15" t="n">
        <v>45968</v>
      </c>
      <c r="B70" s="14" t="n">
        <v>23580.95</v>
      </c>
      <c r="C70" s="16" t="n">
        <f aca="false">COUNTIFS($A$2:$A$261,"&gt;"&amp;A70)+1</f>
        <v>192</v>
      </c>
    </row>
    <row r="71" customFormat="false" ht="15" hidden="false" customHeight="false" outlineLevel="0" collapsed="false">
      <c r="A71" s="15" t="n">
        <v>45971</v>
      </c>
      <c r="B71" s="14" t="n">
        <v>23538.68</v>
      </c>
      <c r="C71" s="16" t="n">
        <f aca="false">COUNTIFS($A$2:$A$261,"&gt;"&amp;A71)+1</f>
        <v>191</v>
      </c>
    </row>
    <row r="72" customFormat="false" ht="15" hidden="false" customHeight="false" outlineLevel="0" collapsed="false">
      <c r="A72" s="15" t="n">
        <v>45972</v>
      </c>
      <c r="B72" s="14" t="n">
        <v>23403.87</v>
      </c>
      <c r="C72" s="16" t="n">
        <f aca="false">COUNTIFS($A$2:$A$261,"&gt;"&amp;A72)+1</f>
        <v>190</v>
      </c>
    </row>
    <row r="73" customFormat="false" ht="15" hidden="false" customHeight="false" outlineLevel="0" collapsed="false">
      <c r="A73" s="15" t="n">
        <v>45973</v>
      </c>
      <c r="B73" s="14" t="n">
        <v>23457.69</v>
      </c>
      <c r="C73" s="16" t="n">
        <f aca="false">COUNTIFS($A$2:$A$261,"&gt;"&amp;A73)+1</f>
        <v>189</v>
      </c>
    </row>
    <row r="74" customFormat="false" ht="15" hidden="false" customHeight="false" outlineLevel="0" collapsed="false">
      <c r="A74" s="15" t="n">
        <v>45974</v>
      </c>
      <c r="B74" s="14" t="n">
        <v>23577.85</v>
      </c>
      <c r="C74" s="16" t="n">
        <f aca="false">COUNTIFS($A$2:$A$261,"&gt;"&amp;A74)+1</f>
        <v>188</v>
      </c>
    </row>
    <row r="75" customFormat="false" ht="15" hidden="false" customHeight="false" outlineLevel="0" collapsed="false">
      <c r="A75" s="15" t="n">
        <v>45975</v>
      </c>
      <c r="B75" s="14" t="n">
        <v>23678.36</v>
      </c>
      <c r="C75" s="16" t="n">
        <f aca="false">COUNTIFS($A$2:$A$261,"&gt;"&amp;A75)+1</f>
        <v>187</v>
      </c>
    </row>
    <row r="76" customFormat="false" ht="15" hidden="false" customHeight="false" outlineLevel="0" collapsed="false">
      <c r="A76" s="15" t="n">
        <v>45978</v>
      </c>
      <c r="B76" s="14" t="n">
        <v>23732.07</v>
      </c>
      <c r="C76" s="16" t="n">
        <f aca="false">COUNTIFS($A$2:$A$261,"&gt;"&amp;A76)+1</f>
        <v>186</v>
      </c>
    </row>
    <row r="77" customFormat="false" ht="15" hidden="false" customHeight="false" outlineLevel="0" collapsed="false">
      <c r="A77" s="15" t="n">
        <v>45979</v>
      </c>
      <c r="B77" s="14" t="n">
        <v>23637.85</v>
      </c>
      <c r="C77" s="16" t="n">
        <f aca="false">COUNTIFS($A$2:$A$261,"&gt;"&amp;A77)+1</f>
        <v>185</v>
      </c>
    </row>
    <row r="78" customFormat="false" ht="15" hidden="false" customHeight="false" outlineLevel="0" collapsed="false">
      <c r="A78" s="15" t="n">
        <v>45980</v>
      </c>
      <c r="B78" s="14" t="n">
        <v>23527.24</v>
      </c>
      <c r="C78" s="16" t="n">
        <f aca="false">COUNTIFS($A$2:$A$261,"&gt;"&amp;A78)+1</f>
        <v>184</v>
      </c>
    </row>
    <row r="79" customFormat="false" ht="15" hidden="false" customHeight="false" outlineLevel="0" collapsed="false">
      <c r="A79" s="15" t="n">
        <v>45981</v>
      </c>
      <c r="B79" s="14" t="n">
        <v>23536.2</v>
      </c>
      <c r="C79" s="16" t="n">
        <f aca="false">COUNTIFS($A$2:$A$261,"&gt;"&amp;A79)+1</f>
        <v>183</v>
      </c>
    </row>
    <row r="80" customFormat="false" ht="15" hidden="false" customHeight="false" outlineLevel="0" collapsed="false">
      <c r="A80" s="15" t="n">
        <v>45982</v>
      </c>
      <c r="B80" s="14" t="n">
        <v>23604.99</v>
      </c>
      <c r="C80" s="16" t="n">
        <f aca="false">COUNTIFS($A$2:$A$261,"&gt;"&amp;A80)+1</f>
        <v>182</v>
      </c>
    </row>
    <row r="81" customFormat="false" ht="15" hidden="false" customHeight="false" outlineLevel="0" collapsed="false">
      <c r="A81" s="15" t="n">
        <v>45985</v>
      </c>
      <c r="B81" s="14" t="n">
        <v>23497.71</v>
      </c>
      <c r="C81" s="16" t="n">
        <f aca="false">COUNTIFS($A$2:$A$261,"&gt;"&amp;A81)+1</f>
        <v>181</v>
      </c>
    </row>
    <row r="82" customFormat="false" ht="15" hidden="false" customHeight="false" outlineLevel="0" collapsed="false">
      <c r="A82" s="15" t="n">
        <v>45986</v>
      </c>
      <c r="B82" s="14" t="n">
        <v>23434.52</v>
      </c>
      <c r="C82" s="16" t="n">
        <f aca="false">COUNTIFS($A$2:$A$261,"&gt;"&amp;A82)+1</f>
        <v>180</v>
      </c>
    </row>
    <row r="83" customFormat="false" ht="15" hidden="false" customHeight="false" outlineLevel="0" collapsed="false">
      <c r="A83" s="15" t="n">
        <v>45987</v>
      </c>
      <c r="B83" s="14" t="n">
        <v>23364.54</v>
      </c>
      <c r="C83" s="16" t="n">
        <f aca="false">COUNTIFS($A$2:$A$261,"&gt;"&amp;A83)+1</f>
        <v>179</v>
      </c>
    </row>
    <row r="84" customFormat="false" ht="15" hidden="false" customHeight="false" outlineLevel="0" collapsed="false">
      <c r="A84" s="15" t="n">
        <v>45988</v>
      </c>
      <c r="B84" s="14" t="n">
        <v>23507.16</v>
      </c>
      <c r="C84" s="16" t="n">
        <f aca="false">COUNTIFS($A$2:$A$261,"&gt;"&amp;A84)+1</f>
        <v>178</v>
      </c>
    </row>
    <row r="85" customFormat="false" ht="15" hidden="false" customHeight="false" outlineLevel="0" collapsed="false">
      <c r="A85" s="15" t="n">
        <v>45989</v>
      </c>
      <c r="B85" s="14" t="n">
        <v>23455.26</v>
      </c>
      <c r="C85" s="16" t="n">
        <f aca="false">COUNTIFS($A$2:$A$261,"&gt;"&amp;A85)+1</f>
        <v>177</v>
      </c>
    </row>
    <row r="86" customFormat="false" ht="15" hidden="false" customHeight="false" outlineLevel="0" collapsed="false">
      <c r="A86" s="15" t="n">
        <v>45992</v>
      </c>
      <c r="B86" s="14" t="n">
        <v>23450.84</v>
      </c>
      <c r="C86" s="16" t="n">
        <f aca="false">COUNTIFS($A$2:$A$261,"&gt;"&amp;A86)+1</f>
        <v>176</v>
      </c>
    </row>
    <row r="87" customFormat="false" ht="15" hidden="false" customHeight="false" outlineLevel="0" collapsed="false">
      <c r="A87" s="15" t="n">
        <v>45993</v>
      </c>
      <c r="B87" s="14" t="n">
        <v>23343.85</v>
      </c>
      <c r="C87" s="16" t="n">
        <f aca="false">COUNTIFS($A$2:$A$261,"&gt;"&amp;A87)+1</f>
        <v>175</v>
      </c>
    </row>
    <row r="88" customFormat="false" ht="15" hidden="false" customHeight="false" outlineLevel="0" collapsed="false">
      <c r="A88" s="15" t="n">
        <v>45994</v>
      </c>
      <c r="B88" s="14" t="n">
        <v>23258.33</v>
      </c>
      <c r="C88" s="16" t="n">
        <f aca="false">COUNTIFS($A$2:$A$261,"&gt;"&amp;A88)+1</f>
        <v>174</v>
      </c>
    </row>
    <row r="89" customFormat="false" ht="15" hidden="false" customHeight="false" outlineLevel="0" collapsed="false">
      <c r="A89" s="15" t="n">
        <v>45995</v>
      </c>
      <c r="B89" s="14" t="n">
        <v>23135.37</v>
      </c>
      <c r="C89" s="16" t="n">
        <f aca="false">COUNTIFS($A$2:$A$261,"&gt;"&amp;A89)+1</f>
        <v>173</v>
      </c>
    </row>
    <row r="90" customFormat="false" ht="15" hidden="false" customHeight="false" outlineLevel="0" collapsed="false">
      <c r="A90" s="15" t="n">
        <v>45996</v>
      </c>
      <c r="B90" s="14" t="n">
        <v>23082.78</v>
      </c>
      <c r="C90" s="16" t="n">
        <f aca="false">COUNTIFS($A$2:$A$261,"&gt;"&amp;A90)+1</f>
        <v>172</v>
      </c>
    </row>
    <row r="91" customFormat="false" ht="15" hidden="false" customHeight="false" outlineLevel="0" collapsed="false">
      <c r="A91" s="15" t="n">
        <v>45999</v>
      </c>
      <c r="B91" s="14" t="n">
        <v>23171.86</v>
      </c>
      <c r="C91" s="16" t="n">
        <f aca="false">COUNTIFS($A$2:$A$261,"&gt;"&amp;A91)+1</f>
        <v>171</v>
      </c>
    </row>
    <row r="92" customFormat="false" ht="15" hidden="false" customHeight="false" outlineLevel="0" collapsed="false">
      <c r="A92" s="15" t="n">
        <v>46000</v>
      </c>
      <c r="B92" s="14" t="n">
        <v>23125.34</v>
      </c>
      <c r="C92" s="16" t="n">
        <f aca="false">COUNTIFS($A$2:$A$261,"&gt;"&amp;A92)+1</f>
        <v>170</v>
      </c>
    </row>
    <row r="93" customFormat="false" ht="15" hidden="false" customHeight="false" outlineLevel="0" collapsed="false">
      <c r="A93" s="15" t="n">
        <v>46001</v>
      </c>
      <c r="B93" s="14" t="n">
        <v>23197.08</v>
      </c>
      <c r="C93" s="16" t="n">
        <f aca="false">COUNTIFS($A$2:$A$261,"&gt;"&amp;A93)+1</f>
        <v>169</v>
      </c>
    </row>
    <row r="94" customFormat="false" ht="15" hidden="false" customHeight="false" outlineLevel="0" collapsed="false">
      <c r="A94" s="15" t="n">
        <v>46002</v>
      </c>
      <c r="B94" s="14" t="n">
        <v>23089.91</v>
      </c>
      <c r="C94" s="16" t="n">
        <f aca="false">COUNTIFS($A$2:$A$261,"&gt;"&amp;A94)+1</f>
        <v>168</v>
      </c>
    </row>
    <row r="95" customFormat="false" ht="15" hidden="false" customHeight="false" outlineLevel="0" collapsed="false">
      <c r="A95" s="15" t="n">
        <v>46003</v>
      </c>
      <c r="B95" s="14" t="n">
        <v>23167</v>
      </c>
      <c r="C95" s="16" t="n">
        <f aca="false">COUNTIFS($A$2:$A$261,"&gt;"&amp;A95)+1</f>
        <v>167</v>
      </c>
    </row>
    <row r="96" customFormat="false" ht="15" hidden="false" customHeight="false" outlineLevel="0" collapsed="false">
      <c r="A96" s="15" t="n">
        <v>46006</v>
      </c>
      <c r="B96" s="14" t="n">
        <v>23046.31</v>
      </c>
      <c r="C96" s="16" t="n">
        <f aca="false">COUNTIFS($A$2:$A$261,"&gt;"&amp;A96)+1</f>
        <v>166</v>
      </c>
    </row>
    <row r="97" customFormat="false" ht="15" hidden="false" customHeight="false" outlineLevel="0" collapsed="false">
      <c r="A97" s="15" t="n">
        <v>46007</v>
      </c>
      <c r="B97" s="14" t="n">
        <v>23149.19</v>
      </c>
      <c r="C97" s="16" t="n">
        <f aca="false">COUNTIFS($A$2:$A$261,"&gt;"&amp;A97)+1</f>
        <v>165</v>
      </c>
    </row>
    <row r="98" customFormat="false" ht="15" hidden="false" customHeight="false" outlineLevel="0" collapsed="false">
      <c r="A98" s="15" t="n">
        <v>46008</v>
      </c>
      <c r="B98" s="14" t="n">
        <v>23200.13</v>
      </c>
      <c r="C98" s="16" t="n">
        <f aca="false">COUNTIFS($A$2:$A$261,"&gt;"&amp;A98)+1</f>
        <v>164</v>
      </c>
    </row>
    <row r="99" customFormat="false" ht="15" hidden="false" customHeight="false" outlineLevel="0" collapsed="false">
      <c r="A99" s="15" t="n">
        <v>46009</v>
      </c>
      <c r="B99" s="14" t="n">
        <v>23113.96</v>
      </c>
      <c r="C99" s="16" t="n">
        <f aca="false">COUNTIFS($A$2:$A$261,"&gt;"&amp;A99)+1</f>
        <v>163</v>
      </c>
    </row>
    <row r="100" customFormat="false" ht="15" hidden="false" customHeight="false" outlineLevel="0" collapsed="false">
      <c r="A100" s="15" t="n">
        <v>46010</v>
      </c>
      <c r="B100" s="14" t="n">
        <v>23079.99</v>
      </c>
      <c r="C100" s="16" t="n">
        <f aca="false">COUNTIFS($A$2:$A$261,"&gt;"&amp;A100)+1</f>
        <v>162</v>
      </c>
    </row>
    <row r="101" customFormat="false" ht="15" hidden="false" customHeight="false" outlineLevel="0" collapsed="false">
      <c r="A101" s="15" t="n">
        <v>46013</v>
      </c>
      <c r="B101" s="14" t="n">
        <v>23068.28</v>
      </c>
      <c r="C101" s="16" t="n">
        <f aca="false">COUNTIFS($A$2:$A$261,"&gt;"&amp;A101)+1</f>
        <v>161</v>
      </c>
    </row>
    <row r="102" customFormat="false" ht="15" hidden="false" customHeight="false" outlineLevel="0" collapsed="false">
      <c r="A102" s="15" t="n">
        <v>46014</v>
      </c>
      <c r="B102" s="14" t="n">
        <v>23107.54</v>
      </c>
      <c r="C102" s="16" t="n">
        <f aca="false">COUNTIFS($A$2:$A$261,"&gt;"&amp;A102)+1</f>
        <v>160</v>
      </c>
    </row>
    <row r="103" customFormat="false" ht="15" hidden="false" customHeight="false" outlineLevel="0" collapsed="false">
      <c r="A103" s="15" t="n">
        <v>46015</v>
      </c>
      <c r="B103" s="14" t="n">
        <v>23218.03</v>
      </c>
      <c r="C103" s="16" t="n">
        <f aca="false">COUNTIFS($A$2:$A$261,"&gt;"&amp;A103)+1</f>
        <v>159</v>
      </c>
    </row>
    <row r="104" customFormat="false" ht="15" hidden="false" customHeight="false" outlineLevel="0" collapsed="false">
      <c r="A104" s="15" t="n">
        <v>46016</v>
      </c>
      <c r="B104" s="14" t="n">
        <v>23110.19</v>
      </c>
      <c r="C104" s="16" t="n">
        <f aca="false">COUNTIFS($A$2:$A$261,"&gt;"&amp;A104)+1</f>
        <v>158</v>
      </c>
    </row>
    <row r="105" customFormat="false" ht="15" hidden="false" customHeight="false" outlineLevel="0" collapsed="false">
      <c r="A105" s="15" t="n">
        <v>46017</v>
      </c>
      <c r="B105" s="14" t="n">
        <v>23203.09</v>
      </c>
      <c r="C105" s="16" t="n">
        <f aca="false">COUNTIFS($A$2:$A$261,"&gt;"&amp;A105)+1</f>
        <v>157</v>
      </c>
    </row>
    <row r="106" customFormat="false" ht="15" hidden="false" customHeight="false" outlineLevel="0" collapsed="false">
      <c r="A106" s="15" t="n">
        <v>46020</v>
      </c>
      <c r="B106" s="14" t="n">
        <v>23120.35</v>
      </c>
      <c r="C106" s="16" t="n">
        <f aca="false">COUNTIFS($A$2:$A$261,"&gt;"&amp;A106)+1</f>
        <v>156</v>
      </c>
    </row>
    <row r="107" customFormat="false" ht="15" hidden="false" customHeight="false" outlineLevel="0" collapsed="false">
      <c r="A107" s="15" t="n">
        <v>46021</v>
      </c>
      <c r="B107" s="14" t="n">
        <v>23098.37</v>
      </c>
      <c r="C107" s="16" t="n">
        <f aca="false">COUNTIFS($A$2:$A$261,"&gt;"&amp;A107)+1</f>
        <v>155</v>
      </c>
    </row>
    <row r="108" customFormat="false" ht="15" hidden="false" customHeight="false" outlineLevel="0" collapsed="false">
      <c r="A108" s="15" t="n">
        <v>46022</v>
      </c>
      <c r="B108" s="14" t="n">
        <v>23232.06</v>
      </c>
      <c r="C108" s="16" t="n">
        <f aca="false">COUNTIFS($A$2:$A$261,"&gt;"&amp;A108)+1</f>
        <v>154</v>
      </c>
    </row>
    <row r="109" customFormat="false" ht="15" hidden="false" customHeight="false" outlineLevel="0" collapsed="false">
      <c r="A109" s="15" t="n">
        <v>46023</v>
      </c>
      <c r="B109" s="14" t="n">
        <v>23174.03</v>
      </c>
      <c r="C109" s="16" t="n">
        <f aca="false">COUNTIFS($A$2:$A$261,"&gt;"&amp;A109)+1</f>
        <v>153</v>
      </c>
    </row>
    <row r="110" customFormat="false" ht="15" hidden="false" customHeight="false" outlineLevel="0" collapsed="false">
      <c r="A110" s="15" t="n">
        <v>46024</v>
      </c>
      <c r="B110" s="14" t="n">
        <v>23147.81</v>
      </c>
      <c r="C110" s="16" t="n">
        <f aca="false">COUNTIFS($A$2:$A$261,"&gt;"&amp;A110)+1</f>
        <v>152</v>
      </c>
    </row>
    <row r="111" customFormat="false" ht="15" hidden="false" customHeight="false" outlineLevel="0" collapsed="false">
      <c r="A111" s="15" t="n">
        <v>46027</v>
      </c>
      <c r="B111" s="14" t="n">
        <v>23250.77</v>
      </c>
      <c r="C111" s="16" t="n">
        <f aca="false">COUNTIFS($A$2:$A$261,"&gt;"&amp;A111)+1</f>
        <v>151</v>
      </c>
    </row>
    <row r="112" customFormat="false" ht="15" hidden="false" customHeight="false" outlineLevel="0" collapsed="false">
      <c r="A112" s="15" t="n">
        <v>46028</v>
      </c>
      <c r="B112" s="14" t="n">
        <v>23340.03</v>
      </c>
      <c r="C112" s="16" t="n">
        <f aca="false">COUNTIFS($A$2:$A$261,"&gt;"&amp;A112)+1</f>
        <v>150</v>
      </c>
    </row>
    <row r="113" customFormat="false" ht="15" hidden="false" customHeight="false" outlineLevel="0" collapsed="false">
      <c r="A113" s="15" t="n">
        <v>46029</v>
      </c>
      <c r="B113" s="14" t="n">
        <v>23387.32</v>
      </c>
      <c r="C113" s="16" t="n">
        <f aca="false">COUNTIFS($A$2:$A$261,"&gt;"&amp;A113)+1</f>
        <v>149</v>
      </c>
    </row>
    <row r="114" customFormat="false" ht="15" hidden="false" customHeight="false" outlineLevel="0" collapsed="false">
      <c r="A114" s="15" t="n">
        <v>46030</v>
      </c>
      <c r="B114" s="14" t="n">
        <v>23476.26</v>
      </c>
      <c r="C114" s="16" t="n">
        <f aca="false">COUNTIFS($A$2:$A$261,"&gt;"&amp;A114)+1</f>
        <v>148</v>
      </c>
    </row>
    <row r="115" customFormat="false" ht="15" hidden="false" customHeight="false" outlineLevel="0" collapsed="false">
      <c r="A115" s="15" t="n">
        <v>46031</v>
      </c>
      <c r="B115" s="14" t="n">
        <v>23372.88</v>
      </c>
      <c r="C115" s="16" t="n">
        <f aca="false">COUNTIFS($A$2:$A$261,"&gt;"&amp;A115)+1</f>
        <v>147</v>
      </c>
    </row>
    <row r="116" customFormat="false" ht="15" hidden="false" customHeight="false" outlineLevel="0" collapsed="false">
      <c r="A116" s="15" t="n">
        <v>46034</v>
      </c>
      <c r="B116" s="14" t="n">
        <v>23433.51</v>
      </c>
      <c r="C116" s="16" t="n">
        <f aca="false">COUNTIFS($A$2:$A$261,"&gt;"&amp;A116)+1</f>
        <v>146</v>
      </c>
    </row>
    <row r="117" customFormat="false" ht="15" hidden="false" customHeight="false" outlineLevel="0" collapsed="false">
      <c r="A117" s="15" t="n">
        <v>46035</v>
      </c>
      <c r="B117" s="14" t="n">
        <v>23315.03</v>
      </c>
      <c r="C117" s="16" t="n">
        <f aca="false">COUNTIFS($A$2:$A$261,"&gt;"&amp;A117)+1</f>
        <v>145</v>
      </c>
    </row>
    <row r="118" customFormat="false" ht="15" hidden="false" customHeight="false" outlineLevel="0" collapsed="false">
      <c r="A118" s="15" t="n">
        <v>46036</v>
      </c>
      <c r="B118" s="14" t="n">
        <v>23444.42</v>
      </c>
      <c r="C118" s="16" t="n">
        <f aca="false">COUNTIFS($A$2:$A$261,"&gt;"&amp;A118)+1</f>
        <v>144</v>
      </c>
    </row>
    <row r="119" customFormat="false" ht="15" hidden="false" customHeight="false" outlineLevel="0" collapsed="false">
      <c r="A119" s="15" t="n">
        <v>46037</v>
      </c>
      <c r="B119" s="14" t="n">
        <v>23354.22</v>
      </c>
      <c r="C119" s="16" t="n">
        <f aca="false">COUNTIFS($A$2:$A$261,"&gt;"&amp;A119)+1</f>
        <v>143</v>
      </c>
    </row>
    <row r="120" customFormat="false" ht="15" hidden="false" customHeight="false" outlineLevel="0" collapsed="false">
      <c r="A120" s="15" t="n">
        <v>46038</v>
      </c>
      <c r="B120" s="14" t="n">
        <v>23336.29</v>
      </c>
      <c r="C120" s="16" t="n">
        <f aca="false">COUNTIFS($A$2:$A$261,"&gt;"&amp;A120)+1</f>
        <v>142</v>
      </c>
    </row>
    <row r="121" customFormat="false" ht="15" hidden="false" customHeight="false" outlineLevel="0" collapsed="false">
      <c r="A121" s="15" t="n">
        <v>46041</v>
      </c>
      <c r="B121" s="14" t="n">
        <v>23367.31</v>
      </c>
      <c r="C121" s="16" t="n">
        <f aca="false">COUNTIFS($A$2:$A$261,"&gt;"&amp;A121)+1</f>
        <v>141</v>
      </c>
    </row>
    <row r="122" customFormat="false" ht="15" hidden="false" customHeight="false" outlineLevel="0" collapsed="false">
      <c r="A122" s="15" t="n">
        <v>46042</v>
      </c>
      <c r="B122" s="14" t="n">
        <v>23457.67</v>
      </c>
      <c r="C122" s="16" t="n">
        <f aca="false">COUNTIFS($A$2:$A$261,"&gt;"&amp;A122)+1</f>
        <v>140</v>
      </c>
    </row>
    <row r="123" customFormat="false" ht="15" hidden="false" customHeight="false" outlineLevel="0" collapsed="false">
      <c r="A123" s="15" t="n">
        <v>46043</v>
      </c>
      <c r="B123" s="14" t="n">
        <v>23513.52</v>
      </c>
      <c r="C123" s="16" t="n">
        <f aca="false">COUNTIFS($A$2:$A$261,"&gt;"&amp;A123)+1</f>
        <v>139</v>
      </c>
    </row>
    <row r="124" customFormat="false" ht="15" hidden="false" customHeight="false" outlineLevel="0" collapsed="false">
      <c r="A124" s="15" t="n">
        <v>46044</v>
      </c>
      <c r="B124" s="14" t="n">
        <v>23429.22</v>
      </c>
      <c r="C124" s="16" t="n">
        <f aca="false">COUNTIFS($A$2:$A$261,"&gt;"&amp;A124)+1</f>
        <v>138</v>
      </c>
    </row>
    <row r="125" customFormat="false" ht="15" hidden="false" customHeight="false" outlineLevel="0" collapsed="false">
      <c r="A125" s="15" t="n">
        <v>46045</v>
      </c>
      <c r="B125" s="14" t="n">
        <v>23401.04</v>
      </c>
      <c r="C125" s="16" t="n">
        <f aca="false">COUNTIFS($A$2:$A$261,"&gt;"&amp;A125)+1</f>
        <v>137</v>
      </c>
    </row>
    <row r="126" customFormat="false" ht="15" hidden="false" customHeight="false" outlineLevel="0" collapsed="false">
      <c r="A126" s="15" t="n">
        <v>46048</v>
      </c>
      <c r="B126" s="14" t="n">
        <v>23366.95</v>
      </c>
      <c r="C126" s="16" t="n">
        <f aca="false">COUNTIFS($A$2:$A$261,"&gt;"&amp;A126)+1</f>
        <v>136</v>
      </c>
    </row>
    <row r="127" customFormat="false" ht="15" hidden="false" customHeight="false" outlineLevel="0" collapsed="false">
      <c r="A127" s="15" t="n">
        <v>46049</v>
      </c>
      <c r="B127" s="14" t="n">
        <v>23240.43</v>
      </c>
      <c r="C127" s="16" t="n">
        <f aca="false">COUNTIFS($A$2:$A$261,"&gt;"&amp;A127)+1</f>
        <v>135</v>
      </c>
    </row>
    <row r="128" customFormat="false" ht="15" hidden="false" customHeight="false" outlineLevel="0" collapsed="false">
      <c r="A128" s="15" t="n">
        <v>46050</v>
      </c>
      <c r="B128" s="14" t="n">
        <v>23297.46</v>
      </c>
      <c r="C128" s="16" t="n">
        <f aca="false">COUNTIFS($A$2:$A$261,"&gt;"&amp;A128)+1</f>
        <v>134</v>
      </c>
    </row>
    <row r="129" customFormat="false" ht="15" hidden="false" customHeight="false" outlineLevel="0" collapsed="false">
      <c r="A129" s="15" t="n">
        <v>46051</v>
      </c>
      <c r="B129" s="14" t="n">
        <v>23397.69</v>
      </c>
      <c r="C129" s="16" t="n">
        <f aca="false">COUNTIFS($A$2:$A$261,"&gt;"&amp;A129)+1</f>
        <v>133</v>
      </c>
    </row>
    <row r="130" customFormat="false" ht="15" hidden="false" customHeight="false" outlineLevel="0" collapsed="false">
      <c r="A130" s="15" t="n">
        <v>46052</v>
      </c>
      <c r="B130" s="14" t="n">
        <v>23536.24</v>
      </c>
      <c r="C130" s="16" t="n">
        <f aca="false">COUNTIFS($A$2:$A$261,"&gt;"&amp;A130)+1</f>
        <v>132</v>
      </c>
    </row>
    <row r="131" customFormat="false" ht="15" hidden="false" customHeight="false" outlineLevel="0" collapsed="false">
      <c r="A131" s="15" t="n">
        <v>46055</v>
      </c>
      <c r="B131" s="14" t="n">
        <v>23437.57</v>
      </c>
      <c r="C131" s="16" t="n">
        <f aca="false">COUNTIFS($A$2:$A$261,"&gt;"&amp;A131)+1</f>
        <v>131</v>
      </c>
    </row>
    <row r="132" customFormat="false" ht="15" hidden="false" customHeight="false" outlineLevel="0" collapsed="false">
      <c r="A132" s="15" t="n">
        <v>46056</v>
      </c>
      <c r="B132" s="14" t="n">
        <v>23561.43</v>
      </c>
      <c r="C132" s="16" t="n">
        <f aca="false">COUNTIFS($A$2:$A$261,"&gt;"&amp;A132)+1</f>
        <v>130</v>
      </c>
    </row>
    <row r="133" customFormat="false" ht="15" hidden="false" customHeight="false" outlineLevel="0" collapsed="false">
      <c r="A133" s="15" t="n">
        <v>46057</v>
      </c>
      <c r="B133" s="14" t="n">
        <v>23457.65</v>
      </c>
      <c r="C133" s="16" t="n">
        <f aca="false">COUNTIFS($A$2:$A$261,"&gt;"&amp;A133)+1</f>
        <v>129</v>
      </c>
    </row>
    <row r="134" customFormat="false" ht="15" hidden="false" customHeight="false" outlineLevel="0" collapsed="false">
      <c r="A134" s="15" t="n">
        <v>46058</v>
      </c>
      <c r="B134" s="14" t="n">
        <v>23438.31</v>
      </c>
      <c r="C134" s="16" t="n">
        <f aca="false">COUNTIFS($A$2:$A$261,"&gt;"&amp;A134)+1</f>
        <v>128</v>
      </c>
    </row>
    <row r="135" customFormat="false" ht="15" hidden="false" customHeight="false" outlineLevel="0" collapsed="false">
      <c r="A135" s="15" t="n">
        <v>46059</v>
      </c>
      <c r="B135" s="14" t="n">
        <v>23316.23</v>
      </c>
      <c r="C135" s="16" t="n">
        <f aca="false">COUNTIFS($A$2:$A$261,"&gt;"&amp;A135)+1</f>
        <v>127</v>
      </c>
    </row>
    <row r="136" customFormat="false" ht="15" hidden="false" customHeight="false" outlineLevel="0" collapsed="false">
      <c r="A136" s="15" t="n">
        <v>46062</v>
      </c>
      <c r="B136" s="14" t="n">
        <v>23255.13</v>
      </c>
      <c r="C136" s="16" t="n">
        <f aca="false">COUNTIFS($A$2:$A$261,"&gt;"&amp;A136)+1</f>
        <v>126</v>
      </c>
    </row>
    <row r="137" customFormat="false" ht="15" hidden="false" customHeight="false" outlineLevel="0" collapsed="false">
      <c r="A137" s="15" t="n">
        <v>46063</v>
      </c>
      <c r="B137" s="14" t="n">
        <v>23208.87</v>
      </c>
      <c r="C137" s="16" t="n">
        <f aca="false">COUNTIFS($A$2:$A$261,"&gt;"&amp;A137)+1</f>
        <v>125</v>
      </c>
    </row>
    <row r="138" customFormat="false" ht="15" hidden="false" customHeight="false" outlineLevel="0" collapsed="false">
      <c r="A138" s="15" t="n">
        <v>46064</v>
      </c>
      <c r="B138" s="14" t="n">
        <v>23271.42</v>
      </c>
      <c r="C138" s="16" t="n">
        <f aca="false">COUNTIFS($A$2:$A$261,"&gt;"&amp;A138)+1</f>
        <v>124</v>
      </c>
    </row>
    <row r="139" customFormat="false" ht="15" hidden="false" customHeight="false" outlineLevel="0" collapsed="false">
      <c r="A139" s="15" t="n">
        <v>46065</v>
      </c>
      <c r="B139" s="14" t="n">
        <v>23326.69</v>
      </c>
      <c r="C139" s="16" t="n">
        <f aca="false">COUNTIFS($A$2:$A$261,"&gt;"&amp;A139)+1</f>
        <v>123</v>
      </c>
    </row>
    <row r="140" customFormat="false" ht="15" hidden="false" customHeight="false" outlineLevel="0" collapsed="false">
      <c r="A140" s="15" t="n">
        <v>46066</v>
      </c>
      <c r="B140" s="14" t="n">
        <v>23407.17</v>
      </c>
      <c r="C140" s="16" t="n">
        <f aca="false">COUNTIFS($A$2:$A$261,"&gt;"&amp;A140)+1</f>
        <v>122</v>
      </c>
    </row>
    <row r="141" customFormat="false" ht="15" hidden="false" customHeight="false" outlineLevel="0" collapsed="false">
      <c r="A141" s="15" t="n">
        <v>46069</v>
      </c>
      <c r="B141" s="14" t="n">
        <v>23434.32</v>
      </c>
      <c r="C141" s="16" t="n">
        <f aca="false">COUNTIFS($A$2:$A$261,"&gt;"&amp;A141)+1</f>
        <v>121</v>
      </c>
    </row>
    <row r="142" customFormat="false" ht="15" hidden="false" customHeight="false" outlineLevel="0" collapsed="false">
      <c r="A142" s="15" t="n">
        <v>46070</v>
      </c>
      <c r="B142" s="14" t="n">
        <v>23458.23</v>
      </c>
      <c r="C142" s="16" t="n">
        <f aca="false">COUNTIFS($A$2:$A$261,"&gt;"&amp;A142)+1</f>
        <v>120</v>
      </c>
    </row>
    <row r="143" customFormat="false" ht="15" hidden="false" customHeight="false" outlineLevel="0" collapsed="false">
      <c r="A143" s="15" t="n">
        <v>46071</v>
      </c>
      <c r="B143" s="14" t="n">
        <v>23598.38</v>
      </c>
      <c r="C143" s="16" t="n">
        <f aca="false">COUNTIFS($A$2:$A$261,"&gt;"&amp;A143)+1</f>
        <v>119</v>
      </c>
    </row>
    <row r="144" customFormat="false" ht="15" hidden="false" customHeight="false" outlineLevel="0" collapsed="false">
      <c r="A144" s="15" t="n">
        <v>46072</v>
      </c>
      <c r="B144" s="14" t="n">
        <v>23652.14</v>
      </c>
      <c r="C144" s="16" t="n">
        <f aca="false">COUNTIFS($A$2:$A$261,"&gt;"&amp;A144)+1</f>
        <v>118</v>
      </c>
    </row>
    <row r="145" customFormat="false" ht="15" hidden="false" customHeight="false" outlineLevel="0" collapsed="false">
      <c r="A145" s="15" t="n">
        <v>46073</v>
      </c>
      <c r="B145" s="14" t="n">
        <v>23611.93</v>
      </c>
      <c r="C145" s="16" t="n">
        <f aca="false">COUNTIFS($A$2:$A$261,"&gt;"&amp;A145)+1</f>
        <v>117</v>
      </c>
    </row>
    <row r="146" customFormat="false" ht="15" hidden="false" customHeight="false" outlineLevel="0" collapsed="false">
      <c r="A146" s="15" t="n">
        <v>46076</v>
      </c>
      <c r="B146" s="14" t="n">
        <v>23624.14</v>
      </c>
      <c r="C146" s="16" t="n">
        <f aca="false">COUNTIFS($A$2:$A$261,"&gt;"&amp;A146)+1</f>
        <v>116</v>
      </c>
    </row>
    <row r="147" customFormat="false" ht="15" hidden="false" customHeight="false" outlineLevel="0" collapsed="false">
      <c r="A147" s="15" t="n">
        <v>46077</v>
      </c>
      <c r="B147" s="14" t="n">
        <v>23686.67</v>
      </c>
      <c r="C147" s="16" t="n">
        <f aca="false">COUNTIFS($A$2:$A$261,"&gt;"&amp;A147)+1</f>
        <v>115</v>
      </c>
    </row>
    <row r="148" customFormat="false" ht="15" hidden="false" customHeight="false" outlineLevel="0" collapsed="false">
      <c r="A148" s="15" t="n">
        <v>46078</v>
      </c>
      <c r="B148" s="14" t="n">
        <v>23577.31</v>
      </c>
      <c r="C148" s="16" t="n">
        <f aca="false">COUNTIFS($A$2:$A$261,"&gt;"&amp;A148)+1</f>
        <v>114</v>
      </c>
    </row>
    <row r="149" customFormat="false" ht="15" hidden="false" customHeight="false" outlineLevel="0" collapsed="false">
      <c r="A149" s="15" t="n">
        <v>46079</v>
      </c>
      <c r="B149" s="14" t="n">
        <v>23628.72</v>
      </c>
      <c r="C149" s="16" t="n">
        <f aca="false">COUNTIFS($A$2:$A$261,"&gt;"&amp;A149)+1</f>
        <v>113</v>
      </c>
    </row>
    <row r="150" customFormat="false" ht="15" hidden="false" customHeight="false" outlineLevel="0" collapsed="false">
      <c r="A150" s="15" t="n">
        <v>46080</v>
      </c>
      <c r="B150" s="14" t="n">
        <v>23563.1</v>
      </c>
      <c r="C150" s="16" t="n">
        <f aca="false">COUNTIFS($A$2:$A$261,"&gt;"&amp;A150)+1</f>
        <v>112</v>
      </c>
    </row>
    <row r="151" customFormat="false" ht="15" hidden="false" customHeight="false" outlineLevel="0" collapsed="false">
      <c r="A151" s="15" t="n">
        <v>46083</v>
      </c>
      <c r="B151" s="14" t="n">
        <v>23525.14</v>
      </c>
      <c r="C151" s="16" t="n">
        <f aca="false">COUNTIFS($A$2:$A$261,"&gt;"&amp;A151)+1</f>
        <v>111</v>
      </c>
    </row>
    <row r="152" customFormat="false" ht="15" hidden="false" customHeight="false" outlineLevel="0" collapsed="false">
      <c r="A152" s="15" t="n">
        <v>46084</v>
      </c>
      <c r="B152" s="14" t="n">
        <v>23580.56</v>
      </c>
      <c r="C152" s="16" t="n">
        <f aca="false">COUNTIFS($A$2:$A$261,"&gt;"&amp;A152)+1</f>
        <v>110</v>
      </c>
    </row>
    <row r="153" customFormat="false" ht="15" hidden="false" customHeight="false" outlineLevel="0" collapsed="false">
      <c r="A153" s="15" t="n">
        <v>46085</v>
      </c>
      <c r="B153" s="14" t="n">
        <v>23553.64</v>
      </c>
      <c r="C153" s="16" t="n">
        <f aca="false">COUNTIFS($A$2:$A$261,"&gt;"&amp;A153)+1</f>
        <v>109</v>
      </c>
    </row>
    <row r="154" customFormat="false" ht="15" hidden="false" customHeight="false" outlineLevel="0" collapsed="false">
      <c r="A154" s="15" t="n">
        <v>46086</v>
      </c>
      <c r="B154" s="14" t="n">
        <v>23655.12</v>
      </c>
      <c r="C154" s="16" t="n">
        <f aca="false">COUNTIFS($A$2:$A$261,"&gt;"&amp;A154)+1</f>
        <v>108</v>
      </c>
    </row>
    <row r="155" customFormat="false" ht="15" hidden="false" customHeight="false" outlineLevel="0" collapsed="false">
      <c r="A155" s="15" t="n">
        <v>46087</v>
      </c>
      <c r="B155" s="14" t="n">
        <v>23677.36</v>
      </c>
      <c r="C155" s="16" t="n">
        <f aca="false">COUNTIFS($A$2:$A$261,"&gt;"&amp;A155)+1</f>
        <v>107</v>
      </c>
    </row>
    <row r="156" customFormat="false" ht="15" hidden="false" customHeight="false" outlineLevel="0" collapsed="false">
      <c r="A156" s="15" t="n">
        <v>46090</v>
      </c>
      <c r="B156" s="14" t="n">
        <v>23821.63</v>
      </c>
      <c r="C156" s="16" t="n">
        <f aca="false">COUNTIFS($A$2:$A$261,"&gt;"&amp;A156)+1</f>
        <v>106</v>
      </c>
    </row>
    <row r="157" customFormat="false" ht="15" hidden="false" customHeight="false" outlineLevel="0" collapsed="false">
      <c r="A157" s="15" t="n">
        <v>46091</v>
      </c>
      <c r="B157" s="14" t="n">
        <v>23700.02</v>
      </c>
      <c r="C157" s="16" t="n">
        <f aca="false">COUNTIFS($A$2:$A$261,"&gt;"&amp;A157)+1</f>
        <v>105</v>
      </c>
    </row>
    <row r="158" customFormat="false" ht="15" hidden="false" customHeight="false" outlineLevel="0" collapsed="false">
      <c r="A158" s="15" t="n">
        <v>46092</v>
      </c>
      <c r="B158" s="14" t="n">
        <v>23746.49</v>
      </c>
      <c r="C158" s="16" t="n">
        <f aca="false">COUNTIFS($A$2:$A$261,"&gt;"&amp;A158)+1</f>
        <v>104</v>
      </c>
    </row>
    <row r="159" customFormat="false" ht="15" hidden="false" customHeight="false" outlineLevel="0" collapsed="false">
      <c r="A159" s="15" t="n">
        <v>46093</v>
      </c>
      <c r="B159" s="14" t="n">
        <v>23654.43</v>
      </c>
      <c r="C159" s="16" t="n">
        <f aca="false">COUNTIFS($A$2:$A$261,"&gt;"&amp;A159)+1</f>
        <v>103</v>
      </c>
    </row>
    <row r="160" customFormat="false" ht="15" hidden="false" customHeight="false" outlineLevel="0" collapsed="false">
      <c r="A160" s="15" t="n">
        <v>46094</v>
      </c>
      <c r="B160" s="14" t="n">
        <v>23759.13</v>
      </c>
      <c r="C160" s="16" t="n">
        <f aca="false">COUNTIFS($A$2:$A$261,"&gt;"&amp;A160)+1</f>
        <v>102</v>
      </c>
    </row>
    <row r="161" customFormat="false" ht="15" hidden="false" customHeight="false" outlineLevel="0" collapsed="false">
      <c r="A161" s="15" t="n">
        <v>46097</v>
      </c>
      <c r="B161" s="14" t="n">
        <v>23865.15</v>
      </c>
      <c r="C161" s="16" t="n">
        <f aca="false">COUNTIFS($A$2:$A$261,"&gt;"&amp;A161)+1</f>
        <v>101</v>
      </c>
    </row>
    <row r="162" customFormat="false" ht="15" hidden="false" customHeight="false" outlineLevel="0" collapsed="false">
      <c r="A162" s="15" t="n">
        <v>46098</v>
      </c>
      <c r="B162" s="14" t="n">
        <v>23976.67</v>
      </c>
      <c r="C162" s="16" t="n">
        <f aca="false">COUNTIFS($A$2:$A$261,"&gt;"&amp;A162)+1</f>
        <v>100</v>
      </c>
    </row>
    <row r="163" customFormat="false" ht="15" hidden="false" customHeight="false" outlineLevel="0" collapsed="false">
      <c r="A163" s="15" t="n">
        <v>46099</v>
      </c>
      <c r="B163" s="14" t="n">
        <v>23860.11</v>
      </c>
      <c r="C163" s="16" t="n">
        <f aca="false">COUNTIFS($A$2:$A$261,"&gt;"&amp;A163)+1</f>
        <v>99</v>
      </c>
    </row>
    <row r="164" customFormat="false" ht="15" hidden="false" customHeight="false" outlineLevel="0" collapsed="false">
      <c r="A164" s="15" t="n">
        <v>46100</v>
      </c>
      <c r="B164" s="14" t="n">
        <v>23863.44</v>
      </c>
      <c r="C164" s="16" t="n">
        <f aca="false">COUNTIFS($A$2:$A$261,"&gt;"&amp;A164)+1</f>
        <v>98</v>
      </c>
    </row>
    <row r="165" customFormat="false" ht="15" hidden="false" customHeight="false" outlineLevel="0" collapsed="false">
      <c r="A165" s="15" t="n">
        <v>46101</v>
      </c>
      <c r="B165" s="14" t="n">
        <v>23794.97</v>
      </c>
      <c r="C165" s="16" t="n">
        <f aca="false">COUNTIFS($A$2:$A$261,"&gt;"&amp;A165)+1</f>
        <v>97</v>
      </c>
    </row>
    <row r="166" customFormat="false" ht="15" hidden="false" customHeight="false" outlineLevel="0" collapsed="false">
      <c r="A166" s="15" t="n">
        <v>46104</v>
      </c>
      <c r="B166" s="14" t="n">
        <v>23934.93</v>
      </c>
      <c r="C166" s="16" t="n">
        <f aca="false">COUNTIFS($A$2:$A$261,"&gt;"&amp;A166)+1</f>
        <v>96</v>
      </c>
    </row>
    <row r="167" customFormat="false" ht="15" hidden="false" customHeight="false" outlineLevel="0" collapsed="false">
      <c r="A167" s="15" t="n">
        <v>46105</v>
      </c>
      <c r="B167" s="14" t="n">
        <v>23811.52</v>
      </c>
      <c r="C167" s="16" t="n">
        <f aca="false">COUNTIFS($A$2:$A$261,"&gt;"&amp;A167)+1</f>
        <v>95</v>
      </c>
    </row>
    <row r="168" customFormat="false" ht="15" hidden="false" customHeight="false" outlineLevel="0" collapsed="false">
      <c r="A168" s="15" t="n">
        <v>46106</v>
      </c>
      <c r="B168" s="14" t="n">
        <v>23738</v>
      </c>
      <c r="C168" s="16" t="n">
        <f aca="false">COUNTIFS($A$2:$A$261,"&gt;"&amp;A168)+1</f>
        <v>94</v>
      </c>
    </row>
    <row r="169" customFormat="false" ht="15" hidden="false" customHeight="false" outlineLevel="0" collapsed="false">
      <c r="A169" s="15" t="n">
        <v>46107</v>
      </c>
      <c r="B169" s="14" t="n">
        <v>23784.53</v>
      </c>
      <c r="C169" s="16" t="n">
        <f aca="false">COUNTIFS($A$2:$A$261,"&gt;"&amp;A169)+1</f>
        <v>93</v>
      </c>
    </row>
    <row r="170" customFormat="false" ht="15" hidden="false" customHeight="false" outlineLevel="0" collapsed="false">
      <c r="A170" s="15" t="n">
        <v>46108</v>
      </c>
      <c r="B170" s="14" t="n">
        <v>23762.63</v>
      </c>
      <c r="C170" s="16" t="n">
        <f aca="false">COUNTIFS($A$2:$A$261,"&gt;"&amp;A170)+1</f>
        <v>92</v>
      </c>
    </row>
    <row r="171" customFormat="false" ht="15" hidden="false" customHeight="false" outlineLevel="0" collapsed="false">
      <c r="A171" s="15" t="n">
        <v>46111</v>
      </c>
      <c r="B171" s="14" t="n">
        <v>23692.77</v>
      </c>
      <c r="C171" s="16" t="n">
        <f aca="false">COUNTIFS($A$2:$A$261,"&gt;"&amp;A171)+1</f>
        <v>91</v>
      </c>
    </row>
    <row r="172" customFormat="false" ht="15" hidden="false" customHeight="false" outlineLevel="0" collapsed="false">
      <c r="A172" s="15" t="n">
        <v>46112</v>
      </c>
      <c r="B172" s="14" t="n">
        <v>23686.82</v>
      </c>
      <c r="C172" s="16" t="n">
        <f aca="false">COUNTIFS($A$2:$A$261,"&gt;"&amp;A172)+1</f>
        <v>90</v>
      </c>
    </row>
    <row r="173" customFormat="false" ht="15" hidden="false" customHeight="false" outlineLevel="0" collapsed="false">
      <c r="A173" s="15" t="n">
        <v>46113</v>
      </c>
      <c r="B173" s="14" t="n">
        <v>23778.14</v>
      </c>
      <c r="C173" s="16" t="n">
        <f aca="false">COUNTIFS($A$2:$A$261,"&gt;"&amp;A173)+1</f>
        <v>89</v>
      </c>
    </row>
    <row r="174" customFormat="false" ht="15" hidden="false" customHeight="false" outlineLevel="0" collapsed="false">
      <c r="A174" s="15" t="n">
        <v>46114</v>
      </c>
      <c r="B174" s="14" t="n">
        <v>23769.04</v>
      </c>
      <c r="C174" s="16" t="n">
        <f aca="false">COUNTIFS($A$2:$A$261,"&gt;"&amp;A174)+1</f>
        <v>88</v>
      </c>
    </row>
    <row r="175" customFormat="false" ht="15" hidden="false" customHeight="false" outlineLevel="0" collapsed="false">
      <c r="A175" s="15" t="n">
        <v>46115</v>
      </c>
      <c r="B175" s="14" t="n">
        <v>23876.45</v>
      </c>
      <c r="C175" s="16" t="n">
        <f aca="false">COUNTIFS($A$2:$A$261,"&gt;"&amp;A175)+1</f>
        <v>87</v>
      </c>
    </row>
    <row r="176" customFormat="false" ht="15" hidden="false" customHeight="false" outlineLevel="0" collapsed="false">
      <c r="A176" s="15" t="n">
        <v>46118</v>
      </c>
      <c r="B176" s="14" t="n">
        <v>23867.01</v>
      </c>
      <c r="C176" s="16" t="n">
        <f aca="false">COUNTIFS($A$2:$A$261,"&gt;"&amp;A176)+1</f>
        <v>86</v>
      </c>
    </row>
    <row r="177" customFormat="false" ht="15" hidden="false" customHeight="false" outlineLevel="0" collapsed="false">
      <c r="A177" s="15" t="n">
        <v>46119</v>
      </c>
      <c r="B177" s="14" t="n">
        <v>23763.54</v>
      </c>
      <c r="C177" s="16" t="n">
        <f aca="false">COUNTIFS($A$2:$A$261,"&gt;"&amp;A177)+1</f>
        <v>85</v>
      </c>
    </row>
    <row r="178" customFormat="false" ht="15" hidden="false" customHeight="false" outlineLevel="0" collapsed="false">
      <c r="A178" s="15" t="n">
        <v>46120</v>
      </c>
      <c r="B178" s="14" t="n">
        <v>23768.49</v>
      </c>
      <c r="C178" s="16" t="n">
        <f aca="false">COUNTIFS($A$2:$A$261,"&gt;"&amp;A178)+1</f>
        <v>84</v>
      </c>
    </row>
    <row r="179" customFormat="false" ht="15" hidden="false" customHeight="false" outlineLevel="0" collapsed="false">
      <c r="A179" s="15" t="n">
        <v>46121</v>
      </c>
      <c r="B179" s="14" t="n">
        <v>23817.94</v>
      </c>
      <c r="C179" s="16" t="n">
        <f aca="false">COUNTIFS($A$2:$A$261,"&gt;"&amp;A179)+1</f>
        <v>83</v>
      </c>
    </row>
    <row r="180" customFormat="false" ht="15" hidden="false" customHeight="false" outlineLevel="0" collapsed="false">
      <c r="A180" s="15" t="n">
        <v>46122</v>
      </c>
      <c r="B180" s="14" t="n">
        <v>23710.09</v>
      </c>
      <c r="C180" s="16" t="n">
        <f aca="false">COUNTIFS($A$2:$A$261,"&gt;"&amp;A180)+1</f>
        <v>82</v>
      </c>
    </row>
    <row r="181" customFormat="false" ht="15" hidden="false" customHeight="false" outlineLevel="0" collapsed="false">
      <c r="A181" s="15" t="n">
        <v>46125</v>
      </c>
      <c r="B181" s="14" t="n">
        <v>23690.84</v>
      </c>
      <c r="C181" s="16" t="n">
        <f aca="false">COUNTIFS($A$2:$A$261,"&gt;"&amp;A181)+1</f>
        <v>81</v>
      </c>
    </row>
    <row r="182" customFormat="false" ht="15" hidden="false" customHeight="false" outlineLevel="0" collapsed="false">
      <c r="A182" s="15" t="n">
        <v>46126</v>
      </c>
      <c r="B182" s="14" t="n">
        <v>23712.76</v>
      </c>
      <c r="C182" s="16" t="n">
        <f aca="false">COUNTIFS($A$2:$A$261,"&gt;"&amp;A182)+1</f>
        <v>80</v>
      </c>
    </row>
    <row r="183" customFormat="false" ht="15" hidden="false" customHeight="false" outlineLevel="0" collapsed="false">
      <c r="A183" s="15" t="n">
        <v>46127</v>
      </c>
      <c r="B183" s="14" t="n">
        <v>23576.23</v>
      </c>
      <c r="C183" s="16" t="n">
        <f aca="false">COUNTIFS($A$2:$A$261,"&gt;"&amp;A183)+1</f>
        <v>79</v>
      </c>
    </row>
    <row r="184" customFormat="false" ht="15" hidden="false" customHeight="false" outlineLevel="0" collapsed="false">
      <c r="A184" s="15" t="n">
        <v>46128</v>
      </c>
      <c r="B184" s="14" t="n">
        <v>23466.14</v>
      </c>
      <c r="C184" s="16" t="n">
        <f aca="false">COUNTIFS($A$2:$A$261,"&gt;"&amp;A184)+1</f>
        <v>78</v>
      </c>
    </row>
    <row r="185" customFormat="false" ht="15" hidden="false" customHeight="false" outlineLevel="0" collapsed="false">
      <c r="A185" s="15" t="n">
        <v>46129</v>
      </c>
      <c r="B185" s="14" t="n">
        <v>23501.12</v>
      </c>
      <c r="C185" s="16" t="n">
        <f aca="false">COUNTIFS($A$2:$A$261,"&gt;"&amp;A185)+1</f>
        <v>77</v>
      </c>
    </row>
    <row r="186" customFormat="false" ht="15" hidden="false" customHeight="false" outlineLevel="0" collapsed="false">
      <c r="A186" s="15" t="n">
        <v>46132</v>
      </c>
      <c r="B186" s="14" t="n">
        <v>23540.34</v>
      </c>
      <c r="C186" s="16" t="n">
        <f aca="false">COUNTIFS($A$2:$A$261,"&gt;"&amp;A186)+1</f>
        <v>76</v>
      </c>
    </row>
    <row r="187" customFormat="false" ht="15" hidden="false" customHeight="false" outlineLevel="0" collapsed="false">
      <c r="A187" s="15" t="n">
        <v>46133</v>
      </c>
      <c r="B187" s="14" t="n">
        <v>23490.79</v>
      </c>
      <c r="C187" s="16" t="n">
        <f aca="false">COUNTIFS($A$2:$A$261,"&gt;"&amp;A187)+1</f>
        <v>75</v>
      </c>
    </row>
    <row r="188" customFormat="false" ht="15" hidden="false" customHeight="false" outlineLevel="0" collapsed="false">
      <c r="A188" s="15" t="n">
        <v>46134</v>
      </c>
      <c r="B188" s="14" t="n">
        <v>23498.78</v>
      </c>
      <c r="C188" s="16" t="n">
        <f aca="false">COUNTIFS($A$2:$A$261,"&gt;"&amp;A188)+1</f>
        <v>74</v>
      </c>
    </row>
    <row r="189" customFormat="false" ht="15" hidden="false" customHeight="false" outlineLevel="0" collapsed="false">
      <c r="A189" s="15" t="n">
        <v>46135</v>
      </c>
      <c r="B189" s="14" t="n">
        <v>23421.75</v>
      </c>
      <c r="C189" s="16" t="n">
        <f aca="false">COUNTIFS($A$2:$A$261,"&gt;"&amp;A189)+1</f>
        <v>73</v>
      </c>
    </row>
    <row r="190" customFormat="false" ht="15" hidden="false" customHeight="false" outlineLevel="0" collapsed="false">
      <c r="A190" s="15" t="n">
        <v>46136</v>
      </c>
      <c r="B190" s="14" t="n">
        <v>23475.57</v>
      </c>
      <c r="C190" s="16" t="n">
        <f aca="false">COUNTIFS($A$2:$A$261,"&gt;"&amp;A190)+1</f>
        <v>72</v>
      </c>
    </row>
    <row r="191" customFormat="false" ht="15" hidden="false" customHeight="false" outlineLevel="0" collapsed="false">
      <c r="A191" s="15" t="n">
        <v>46139</v>
      </c>
      <c r="B191" s="14" t="n">
        <v>23608.07</v>
      </c>
      <c r="C191" s="16" t="n">
        <f aca="false">COUNTIFS($A$2:$A$261,"&gt;"&amp;A191)+1</f>
        <v>71</v>
      </c>
    </row>
    <row r="192" customFormat="false" ht="15" hidden="false" customHeight="false" outlineLevel="0" collapsed="false">
      <c r="A192" s="15" t="n">
        <v>46140</v>
      </c>
      <c r="B192" s="14" t="n">
        <v>23575.02</v>
      </c>
      <c r="C192" s="16" t="n">
        <f aca="false">COUNTIFS($A$2:$A$261,"&gt;"&amp;A192)+1</f>
        <v>70</v>
      </c>
    </row>
    <row r="193" customFormat="false" ht="15" hidden="false" customHeight="false" outlineLevel="0" collapsed="false">
      <c r="A193" s="15" t="n">
        <v>46141</v>
      </c>
      <c r="B193" s="14" t="n">
        <v>23454.58</v>
      </c>
      <c r="C193" s="16" t="n">
        <f aca="false">COUNTIFS($A$2:$A$261,"&gt;"&amp;A193)+1</f>
        <v>69</v>
      </c>
    </row>
    <row r="194" customFormat="false" ht="15" hidden="false" customHeight="false" outlineLevel="0" collapsed="false">
      <c r="A194" s="15" t="n">
        <v>46142</v>
      </c>
      <c r="B194" s="14" t="n">
        <v>23382.23</v>
      </c>
      <c r="C194" s="16" t="n">
        <f aca="false">COUNTIFS($A$2:$A$261,"&gt;"&amp;A194)+1</f>
        <v>68</v>
      </c>
    </row>
    <row r="195" customFormat="false" ht="15" hidden="false" customHeight="false" outlineLevel="0" collapsed="false">
      <c r="A195" s="15" t="n">
        <v>46143</v>
      </c>
      <c r="B195" s="14" t="n">
        <v>23375.06</v>
      </c>
      <c r="C195" s="16" t="n">
        <f aca="false">COUNTIFS($A$2:$A$261,"&gt;"&amp;A195)+1</f>
        <v>67</v>
      </c>
    </row>
    <row r="196" customFormat="false" ht="15" hidden="false" customHeight="false" outlineLevel="0" collapsed="false">
      <c r="A196" s="15" t="n">
        <v>46146</v>
      </c>
      <c r="B196" s="14" t="n">
        <v>23397.54</v>
      </c>
      <c r="C196" s="16" t="n">
        <f aca="false">COUNTIFS($A$2:$A$261,"&gt;"&amp;A196)+1</f>
        <v>66</v>
      </c>
    </row>
    <row r="197" customFormat="false" ht="15" hidden="false" customHeight="false" outlineLevel="0" collapsed="false">
      <c r="A197" s="15" t="n">
        <v>46147</v>
      </c>
      <c r="B197" s="14" t="n">
        <v>23436.78</v>
      </c>
      <c r="C197" s="16" t="n">
        <f aca="false">COUNTIFS($A$2:$A$261,"&gt;"&amp;A197)+1</f>
        <v>65</v>
      </c>
    </row>
    <row r="198" customFormat="false" ht="15" hidden="false" customHeight="false" outlineLevel="0" collapsed="false">
      <c r="A198" s="15" t="n">
        <v>46148</v>
      </c>
      <c r="B198" s="14" t="n">
        <v>23434.85</v>
      </c>
      <c r="C198" s="16" t="n">
        <f aca="false">COUNTIFS($A$2:$A$261,"&gt;"&amp;A198)+1</f>
        <v>64</v>
      </c>
    </row>
    <row r="199" customFormat="false" ht="15" hidden="false" customHeight="false" outlineLevel="0" collapsed="false">
      <c r="A199" s="15" t="n">
        <v>46149</v>
      </c>
      <c r="B199" s="14" t="n">
        <v>23484.68</v>
      </c>
      <c r="C199" s="16" t="n">
        <f aca="false">COUNTIFS($A$2:$A$261,"&gt;"&amp;A199)+1</f>
        <v>63</v>
      </c>
    </row>
    <row r="200" customFormat="false" ht="15" hidden="false" customHeight="false" outlineLevel="0" collapsed="false">
      <c r="A200" s="15" t="n">
        <v>46150</v>
      </c>
      <c r="B200" s="14" t="n">
        <v>23551.16</v>
      </c>
      <c r="C200" s="16" t="n">
        <f aca="false">COUNTIFS($A$2:$A$261,"&gt;"&amp;A200)+1</f>
        <v>62</v>
      </c>
    </row>
    <row r="201" customFormat="false" ht="15" hidden="false" customHeight="false" outlineLevel="0" collapsed="false">
      <c r="A201" s="15" t="n">
        <v>46153</v>
      </c>
      <c r="B201" s="14" t="n">
        <v>23447.73</v>
      </c>
      <c r="C201" s="16" t="n">
        <f aca="false">COUNTIFS($A$2:$A$261,"&gt;"&amp;A201)+1</f>
        <v>61</v>
      </c>
    </row>
    <row r="202" customFormat="false" ht="15" hidden="false" customHeight="false" outlineLevel="0" collapsed="false">
      <c r="A202" s="15" t="n">
        <v>46154</v>
      </c>
      <c r="B202" s="14" t="n">
        <v>23526.32</v>
      </c>
      <c r="C202" s="16" t="n">
        <f aca="false">COUNTIFS($A$2:$A$261,"&gt;"&amp;A202)+1</f>
        <v>60</v>
      </c>
    </row>
    <row r="203" customFormat="false" ht="15" hidden="false" customHeight="false" outlineLevel="0" collapsed="false">
      <c r="A203" s="15" t="n">
        <v>46155</v>
      </c>
      <c r="B203" s="14" t="n">
        <v>23453.41</v>
      </c>
      <c r="C203" s="16" t="n">
        <f aca="false">COUNTIFS($A$2:$A$261,"&gt;"&amp;A203)+1</f>
        <v>59</v>
      </c>
    </row>
    <row r="204" customFormat="false" ht="15" hidden="false" customHeight="false" outlineLevel="0" collapsed="false">
      <c r="A204" s="15" t="n">
        <v>46156</v>
      </c>
      <c r="B204" s="14" t="n">
        <v>23414.39</v>
      </c>
      <c r="C204" s="16" t="n">
        <f aca="false">COUNTIFS($A$2:$A$261,"&gt;"&amp;A204)+1</f>
        <v>58</v>
      </c>
    </row>
    <row r="205" customFormat="false" ht="15" hidden="false" customHeight="false" outlineLevel="0" collapsed="false">
      <c r="A205" s="15" t="n">
        <v>46157</v>
      </c>
      <c r="B205" s="14" t="n">
        <v>23512.7</v>
      </c>
      <c r="C205" s="16" t="n">
        <f aca="false">COUNTIFS($A$2:$A$261,"&gt;"&amp;A205)+1</f>
        <v>57</v>
      </c>
    </row>
    <row r="206" customFormat="false" ht="15" hidden="false" customHeight="false" outlineLevel="0" collapsed="false">
      <c r="A206" s="15" t="n">
        <v>46160</v>
      </c>
      <c r="B206" s="14" t="n">
        <v>23649.39</v>
      </c>
      <c r="C206" s="16" t="n">
        <f aca="false">COUNTIFS($A$2:$A$261,"&gt;"&amp;A206)+1</f>
        <v>56</v>
      </c>
    </row>
    <row r="207" customFormat="false" ht="15" hidden="false" customHeight="false" outlineLevel="0" collapsed="false">
      <c r="A207" s="15" t="n">
        <v>46161</v>
      </c>
      <c r="B207" s="14" t="n">
        <v>23596.03</v>
      </c>
      <c r="C207" s="16" t="n">
        <f aca="false">COUNTIFS($A$2:$A$261,"&gt;"&amp;A207)+1</f>
        <v>55</v>
      </c>
    </row>
    <row r="208" customFormat="false" ht="15" hidden="false" customHeight="false" outlineLevel="0" collapsed="false">
      <c r="A208" s="15" t="n">
        <v>46162</v>
      </c>
      <c r="B208" s="14" t="n">
        <v>23607.92</v>
      </c>
      <c r="C208" s="16" t="n">
        <f aca="false">COUNTIFS($A$2:$A$261,"&gt;"&amp;A208)+1</f>
        <v>54</v>
      </c>
    </row>
    <row r="209" customFormat="false" ht="15" hidden="false" customHeight="false" outlineLevel="0" collapsed="false">
      <c r="A209" s="15" t="n">
        <v>46163</v>
      </c>
      <c r="B209" s="14" t="n">
        <v>23670.84</v>
      </c>
      <c r="C209" s="16" t="n">
        <f aca="false">COUNTIFS($A$2:$A$261,"&gt;"&amp;A209)+1</f>
        <v>53</v>
      </c>
    </row>
    <row r="210" customFormat="false" ht="15" hidden="false" customHeight="false" outlineLevel="0" collapsed="false">
      <c r="A210" s="15" t="n">
        <v>46164</v>
      </c>
      <c r="B210" s="14" t="n">
        <v>23547.49</v>
      </c>
      <c r="C210" s="16" t="n">
        <f aca="false">COUNTIFS($A$2:$A$261,"&gt;"&amp;A210)+1</f>
        <v>52</v>
      </c>
    </row>
    <row r="211" customFormat="false" ht="15" hidden="false" customHeight="false" outlineLevel="0" collapsed="false">
      <c r="A211" s="15" t="n">
        <v>46167</v>
      </c>
      <c r="B211" s="14" t="n">
        <v>23458.25</v>
      </c>
      <c r="C211" s="16" t="n">
        <f aca="false">COUNTIFS($A$2:$A$261,"&gt;"&amp;A211)+1</f>
        <v>51</v>
      </c>
    </row>
    <row r="212" customFormat="false" ht="15" hidden="false" customHeight="false" outlineLevel="0" collapsed="false">
      <c r="A212" s="15" t="n">
        <v>46168</v>
      </c>
      <c r="B212" s="14" t="n">
        <v>23362.66</v>
      </c>
      <c r="C212" s="16" t="n">
        <f aca="false">COUNTIFS($A$2:$A$261,"&gt;"&amp;A212)+1</f>
        <v>50</v>
      </c>
    </row>
    <row r="213" customFormat="false" ht="15" hidden="false" customHeight="false" outlineLevel="0" collapsed="false">
      <c r="A213" s="15" t="n">
        <v>46169</v>
      </c>
      <c r="B213" s="14" t="n">
        <v>23429.07</v>
      </c>
      <c r="C213" s="16" t="n">
        <f aca="false">COUNTIFS($A$2:$A$261,"&gt;"&amp;A213)+1</f>
        <v>49</v>
      </c>
    </row>
    <row r="214" customFormat="false" ht="15" hidden="false" customHeight="false" outlineLevel="0" collapsed="false">
      <c r="A214" s="15" t="n">
        <v>46170</v>
      </c>
      <c r="B214" s="14" t="n">
        <v>23496.98</v>
      </c>
      <c r="C214" s="16" t="n">
        <f aca="false">COUNTIFS($A$2:$A$261,"&gt;"&amp;A214)+1</f>
        <v>48</v>
      </c>
    </row>
    <row r="215" customFormat="false" ht="15" hidden="false" customHeight="false" outlineLevel="0" collapsed="false">
      <c r="A215" s="15" t="n">
        <v>46171</v>
      </c>
      <c r="B215" s="14" t="n">
        <v>23391.8</v>
      </c>
      <c r="C215" s="16" t="n">
        <f aca="false">COUNTIFS($A$2:$A$261,"&gt;"&amp;A215)+1</f>
        <v>47</v>
      </c>
    </row>
    <row r="216" customFormat="false" ht="15" hidden="false" customHeight="false" outlineLevel="0" collapsed="false">
      <c r="A216" s="15" t="n">
        <v>46174</v>
      </c>
      <c r="B216" s="14" t="n">
        <v>23428.53</v>
      </c>
      <c r="C216" s="16" t="n">
        <f aca="false">COUNTIFS($A$2:$A$261,"&gt;"&amp;A216)+1</f>
        <v>46</v>
      </c>
    </row>
    <row r="217" customFormat="false" ht="15" hidden="false" customHeight="false" outlineLevel="0" collapsed="false">
      <c r="A217" s="15" t="n">
        <v>46175</v>
      </c>
      <c r="B217" s="14" t="n">
        <v>23346.31</v>
      </c>
      <c r="C217" s="16" t="n">
        <f aca="false">COUNTIFS($A$2:$A$261,"&gt;"&amp;A217)+1</f>
        <v>45</v>
      </c>
    </row>
    <row r="218" customFormat="false" ht="15" hidden="false" customHeight="false" outlineLevel="0" collapsed="false">
      <c r="A218" s="15" t="n">
        <v>46176</v>
      </c>
      <c r="B218" s="14" t="n">
        <v>23472.44</v>
      </c>
      <c r="C218" s="16" t="n">
        <f aca="false">COUNTIFS($A$2:$A$261,"&gt;"&amp;A218)+1</f>
        <v>44</v>
      </c>
    </row>
    <row r="219" customFormat="false" ht="15" hidden="false" customHeight="false" outlineLevel="0" collapsed="false">
      <c r="A219" s="15" t="n">
        <v>46177</v>
      </c>
      <c r="B219" s="14" t="n">
        <v>23447.9</v>
      </c>
      <c r="C219" s="16" t="n">
        <f aca="false">COUNTIFS($A$2:$A$261,"&gt;"&amp;A219)+1</f>
        <v>43</v>
      </c>
    </row>
    <row r="220" customFormat="false" ht="15" hidden="false" customHeight="false" outlineLevel="0" collapsed="false">
      <c r="A220" s="15" t="n">
        <v>46178</v>
      </c>
      <c r="B220" s="14" t="n">
        <v>23441.44</v>
      </c>
      <c r="C220" s="16" t="n">
        <f aca="false">COUNTIFS($A$2:$A$261,"&gt;"&amp;A220)+1</f>
        <v>42</v>
      </c>
    </row>
    <row r="221" customFormat="false" ht="15" hidden="false" customHeight="false" outlineLevel="0" collapsed="false">
      <c r="A221" s="15" t="n">
        <v>46181</v>
      </c>
      <c r="B221" s="14" t="n">
        <v>23526.23</v>
      </c>
      <c r="C221" s="16" t="n">
        <f aca="false">COUNTIFS($A$2:$A$261,"&gt;"&amp;A221)+1</f>
        <v>41</v>
      </c>
    </row>
    <row r="222" customFormat="false" ht="15" hidden="false" customHeight="false" outlineLevel="0" collapsed="false">
      <c r="A222" s="15" t="n">
        <v>46182</v>
      </c>
      <c r="B222" s="14" t="n">
        <v>23593.08</v>
      </c>
      <c r="C222" s="16" t="n">
        <f aca="false">COUNTIFS($A$2:$A$261,"&gt;"&amp;A222)+1</f>
        <v>40</v>
      </c>
    </row>
    <row r="223" customFormat="false" ht="15" hidden="false" customHeight="false" outlineLevel="0" collapsed="false">
      <c r="A223" s="15" t="n">
        <v>46183</v>
      </c>
      <c r="B223" s="14" t="n">
        <v>23487.69</v>
      </c>
      <c r="C223" s="16" t="n">
        <f aca="false">COUNTIFS($A$2:$A$261,"&gt;"&amp;A223)+1</f>
        <v>39</v>
      </c>
    </row>
    <row r="224" customFormat="false" ht="15" hidden="false" customHeight="false" outlineLevel="0" collapsed="false">
      <c r="A224" s="15" t="n">
        <v>46184</v>
      </c>
      <c r="B224" s="14" t="n">
        <v>23469.22</v>
      </c>
      <c r="C224" s="16" t="n">
        <f aca="false">COUNTIFS($A$2:$A$261,"&gt;"&amp;A224)+1</f>
        <v>38</v>
      </c>
    </row>
    <row r="225" customFormat="false" ht="15" hidden="false" customHeight="false" outlineLevel="0" collapsed="false">
      <c r="A225" s="15" t="n">
        <v>46185</v>
      </c>
      <c r="B225" s="14" t="n">
        <v>23595.01</v>
      </c>
      <c r="C225" s="16" t="n">
        <f aca="false">COUNTIFS($A$2:$A$261,"&gt;"&amp;A225)+1</f>
        <v>37</v>
      </c>
    </row>
    <row r="226" customFormat="false" ht="15" hidden="false" customHeight="false" outlineLevel="0" collapsed="false">
      <c r="A226" s="15" t="n">
        <v>46188</v>
      </c>
      <c r="B226" s="14" t="n">
        <v>23696.22</v>
      </c>
      <c r="C226" s="16" t="n">
        <f aca="false">COUNTIFS($A$2:$A$261,"&gt;"&amp;A226)+1</f>
        <v>36</v>
      </c>
    </row>
    <row r="227" customFormat="false" ht="15" hidden="false" customHeight="false" outlineLevel="0" collapsed="false">
      <c r="A227" s="15" t="n">
        <v>46189</v>
      </c>
      <c r="B227" s="14" t="n">
        <v>23727.16</v>
      </c>
      <c r="C227" s="16" t="n">
        <f aca="false">COUNTIFS($A$2:$A$261,"&gt;"&amp;A227)+1</f>
        <v>35</v>
      </c>
    </row>
    <row r="228" customFormat="false" ht="15" hidden="false" customHeight="false" outlineLevel="0" collapsed="false">
      <c r="A228" s="15" t="n">
        <v>46190</v>
      </c>
      <c r="B228" s="14" t="n">
        <v>23810.34</v>
      </c>
      <c r="C228" s="16" t="n">
        <f aca="false">COUNTIFS($A$2:$A$261,"&gt;"&amp;A228)+1</f>
        <v>34</v>
      </c>
    </row>
    <row r="229" customFormat="false" ht="15" hidden="false" customHeight="false" outlineLevel="0" collapsed="false">
      <c r="A229" s="15" t="n">
        <v>46191</v>
      </c>
      <c r="B229" s="14" t="n">
        <v>23801.92</v>
      </c>
      <c r="C229" s="16" t="n">
        <f aca="false">COUNTIFS($A$2:$A$261,"&gt;"&amp;A229)+1</f>
        <v>33</v>
      </c>
    </row>
    <row r="230" customFormat="false" ht="15" hidden="false" customHeight="false" outlineLevel="0" collapsed="false">
      <c r="A230" s="15" t="n">
        <v>46192</v>
      </c>
      <c r="B230" s="14" t="n">
        <v>23852.89</v>
      </c>
      <c r="C230" s="16" t="n">
        <f aca="false">COUNTIFS($A$2:$A$261,"&gt;"&amp;A230)+1</f>
        <v>32</v>
      </c>
    </row>
    <row r="231" customFormat="false" ht="15" hidden="false" customHeight="false" outlineLevel="0" collapsed="false">
      <c r="A231" s="15" t="n">
        <v>46195</v>
      </c>
      <c r="B231" s="14" t="n">
        <v>23989.19</v>
      </c>
      <c r="C231" s="16" t="n">
        <f aca="false">COUNTIFS($A$2:$A$261,"&gt;"&amp;A231)+1</f>
        <v>31</v>
      </c>
    </row>
    <row r="232" customFormat="false" ht="15" hidden="false" customHeight="false" outlineLevel="0" collapsed="false">
      <c r="A232" s="15" t="n">
        <v>46196</v>
      </c>
      <c r="B232" s="14" t="n">
        <v>23889.77</v>
      </c>
      <c r="C232" s="16" t="n">
        <f aca="false">COUNTIFS($A$2:$A$261,"&gt;"&amp;A232)+1</f>
        <v>30</v>
      </c>
    </row>
    <row r="233" customFormat="false" ht="15" hidden="false" customHeight="false" outlineLevel="0" collapsed="false">
      <c r="A233" s="15" t="n">
        <v>46197</v>
      </c>
      <c r="B233" s="14" t="n">
        <v>23895.17</v>
      </c>
      <c r="C233" s="16" t="n">
        <f aca="false">COUNTIFS($A$2:$A$261,"&gt;"&amp;A233)+1</f>
        <v>29</v>
      </c>
    </row>
    <row r="234" customFormat="false" ht="15" hidden="false" customHeight="false" outlineLevel="0" collapsed="false">
      <c r="A234" s="15" t="n">
        <v>46198</v>
      </c>
      <c r="B234" s="14" t="n">
        <v>23909.61</v>
      </c>
      <c r="C234" s="16" t="n">
        <f aca="false">COUNTIFS($A$2:$A$261,"&gt;"&amp;A234)+1</f>
        <v>28</v>
      </c>
    </row>
    <row r="235" customFormat="false" ht="15" hidden="false" customHeight="false" outlineLevel="0" collapsed="false">
      <c r="A235" s="15" t="n">
        <v>46199</v>
      </c>
      <c r="B235" s="14" t="n">
        <v>23785.83</v>
      </c>
      <c r="C235" s="16" t="n">
        <f aca="false">COUNTIFS($A$2:$A$261,"&gt;"&amp;A235)+1</f>
        <v>27</v>
      </c>
    </row>
    <row r="236" customFormat="false" ht="15" hidden="false" customHeight="false" outlineLevel="0" collapsed="false">
      <c r="A236" s="15" t="n">
        <v>46202</v>
      </c>
      <c r="B236" s="14" t="n">
        <v>23915.78</v>
      </c>
      <c r="C236" s="16" t="n">
        <f aca="false">COUNTIFS($A$2:$A$261,"&gt;"&amp;A236)+1</f>
        <v>26</v>
      </c>
    </row>
    <row r="237" customFormat="false" ht="15" hidden="false" customHeight="false" outlineLevel="0" collapsed="false">
      <c r="A237" s="15" t="n">
        <v>46203</v>
      </c>
      <c r="B237" s="14" t="n">
        <v>24018.76</v>
      </c>
      <c r="C237" s="16" t="n">
        <f aca="false">COUNTIFS($A$2:$A$261,"&gt;"&amp;A237)+1</f>
        <v>25</v>
      </c>
    </row>
    <row r="238" customFormat="false" ht="15" hidden="false" customHeight="false" outlineLevel="0" collapsed="false">
      <c r="A238" s="15" t="n">
        <v>46204</v>
      </c>
      <c r="B238" s="14" t="n">
        <v>24019.61</v>
      </c>
      <c r="C238" s="16" t="n">
        <f aca="false">COUNTIFS($A$2:$A$261,"&gt;"&amp;A238)+1</f>
        <v>24</v>
      </c>
    </row>
    <row r="239" customFormat="false" ht="15" hidden="false" customHeight="false" outlineLevel="0" collapsed="false">
      <c r="A239" s="15" t="n">
        <v>46205</v>
      </c>
      <c r="B239" s="14" t="n">
        <v>24027.77</v>
      </c>
      <c r="C239" s="16" t="n">
        <f aca="false">COUNTIFS($A$2:$A$261,"&gt;"&amp;A239)+1</f>
        <v>23</v>
      </c>
    </row>
    <row r="240" customFormat="false" ht="15" hidden="false" customHeight="false" outlineLevel="0" collapsed="false">
      <c r="A240" s="15" t="n">
        <v>46206</v>
      </c>
      <c r="B240" s="14" t="n">
        <v>24154.97</v>
      </c>
      <c r="C240" s="16" t="n">
        <f aca="false">COUNTIFS($A$2:$A$261,"&gt;"&amp;A240)+1</f>
        <v>22</v>
      </c>
    </row>
    <row r="241" customFormat="false" ht="15" hidden="false" customHeight="false" outlineLevel="0" collapsed="false">
      <c r="A241" s="15" t="n">
        <v>46209</v>
      </c>
      <c r="B241" s="14" t="n">
        <v>24067.21</v>
      </c>
      <c r="C241" s="16" t="n">
        <f aca="false">COUNTIFS($A$2:$A$261,"&gt;"&amp;A241)+1</f>
        <v>21</v>
      </c>
    </row>
    <row r="242" customFormat="false" ht="15" hidden="false" customHeight="false" outlineLevel="0" collapsed="false">
      <c r="A242" s="15" t="n">
        <v>46210</v>
      </c>
      <c r="B242" s="14" t="n">
        <v>24095.67</v>
      </c>
      <c r="C242" s="16" t="n">
        <f aca="false">COUNTIFS($A$2:$A$261,"&gt;"&amp;A242)+1</f>
        <v>20</v>
      </c>
    </row>
    <row r="243" customFormat="false" ht="15" hidden="false" customHeight="false" outlineLevel="0" collapsed="false">
      <c r="A243" s="15" t="n">
        <v>46211</v>
      </c>
      <c r="B243" s="14" t="n">
        <v>24168.1</v>
      </c>
      <c r="C243" s="16" t="n">
        <f aca="false">COUNTIFS($A$2:$A$261,"&gt;"&amp;A243)+1</f>
        <v>19</v>
      </c>
    </row>
    <row r="244" customFormat="false" ht="15" hidden="false" customHeight="false" outlineLevel="0" collapsed="false">
      <c r="A244" s="15" t="n">
        <v>46212</v>
      </c>
      <c r="B244" s="14" t="n">
        <v>24066.12</v>
      </c>
      <c r="C244" s="16" t="n">
        <f aca="false">COUNTIFS($A$2:$A$261,"&gt;"&amp;A244)+1</f>
        <v>18</v>
      </c>
    </row>
    <row r="245" customFormat="false" ht="15" hidden="false" customHeight="false" outlineLevel="0" collapsed="false">
      <c r="A245" s="15" t="n">
        <v>46213</v>
      </c>
      <c r="B245" s="14" t="n">
        <v>24039.38</v>
      </c>
      <c r="C245" s="16" t="n">
        <f aca="false">COUNTIFS($A$2:$A$261,"&gt;"&amp;A245)+1</f>
        <v>17</v>
      </c>
    </row>
    <row r="246" customFormat="false" ht="15" hidden="false" customHeight="false" outlineLevel="0" collapsed="false">
      <c r="A246" s="15" t="n">
        <v>46216</v>
      </c>
      <c r="B246" s="14" t="n">
        <v>24074.16</v>
      </c>
      <c r="C246" s="16" t="n">
        <f aca="false">COUNTIFS($A$2:$A$261,"&gt;"&amp;A246)+1</f>
        <v>16</v>
      </c>
    </row>
    <row r="247" customFormat="false" ht="15" hidden="false" customHeight="false" outlineLevel="0" collapsed="false">
      <c r="A247" s="15" t="n">
        <v>46217</v>
      </c>
      <c r="B247" s="14" t="n">
        <v>24190.49</v>
      </c>
      <c r="C247" s="16" t="n">
        <f aca="false">COUNTIFS($A$2:$A$261,"&gt;"&amp;A247)+1</f>
        <v>15</v>
      </c>
    </row>
    <row r="248" customFormat="false" ht="15" hidden="false" customHeight="false" outlineLevel="0" collapsed="false">
      <c r="A248" s="15" t="n">
        <v>46218</v>
      </c>
      <c r="B248" s="14" t="n">
        <v>24197.49</v>
      </c>
      <c r="C248" s="16" t="n">
        <f aca="false">COUNTIFS($A$2:$A$261,"&gt;"&amp;A248)+1</f>
        <v>14</v>
      </c>
    </row>
    <row r="249" customFormat="false" ht="15" hidden="false" customHeight="false" outlineLevel="0" collapsed="false">
      <c r="A249" s="15" t="n">
        <v>46219</v>
      </c>
      <c r="B249" s="14" t="n">
        <v>24169.81</v>
      </c>
      <c r="C249" s="16" t="n">
        <f aca="false">COUNTIFS($A$2:$A$261,"&gt;"&amp;A249)+1</f>
        <v>13</v>
      </c>
    </row>
    <row r="250" customFormat="false" ht="15" hidden="false" customHeight="false" outlineLevel="0" collapsed="false">
      <c r="A250" s="15" t="n">
        <v>46220</v>
      </c>
      <c r="B250" s="14" t="n">
        <v>24314.68</v>
      </c>
      <c r="C250" s="16" t="n">
        <f aca="false">COUNTIFS($A$2:$A$261,"&gt;"&amp;A250)+1</f>
        <v>12</v>
      </c>
    </row>
    <row r="251" customFormat="false" ht="15" hidden="false" customHeight="false" outlineLevel="0" collapsed="false">
      <c r="A251" s="15" t="n">
        <v>46223</v>
      </c>
      <c r="B251" s="14" t="n">
        <v>24441.87</v>
      </c>
      <c r="C251" s="16" t="n">
        <f aca="false">COUNTIFS($A$2:$A$261,"&gt;"&amp;A251)+1</f>
        <v>11</v>
      </c>
    </row>
    <row r="252" customFormat="false" ht="15" hidden="false" customHeight="false" outlineLevel="0" collapsed="false">
      <c r="A252" s="15" t="n">
        <v>46224</v>
      </c>
      <c r="B252" s="14" t="n">
        <v>24524.69</v>
      </c>
      <c r="C252" s="16" t="n">
        <f aca="false">COUNTIFS($A$2:$A$261,"&gt;"&amp;A252)+1</f>
        <v>10</v>
      </c>
    </row>
    <row r="253" customFormat="false" ht="15" hidden="false" customHeight="false" outlineLevel="0" collapsed="false">
      <c r="A253" s="15" t="n">
        <v>46225</v>
      </c>
      <c r="B253" s="14" t="n">
        <v>24463.95</v>
      </c>
      <c r="C253" s="16" t="n">
        <f aca="false">COUNTIFS($A$2:$A$261,"&gt;"&amp;A253)+1</f>
        <v>9</v>
      </c>
    </row>
    <row r="254" customFormat="false" ht="15" hidden="false" customHeight="false" outlineLevel="0" collapsed="false">
      <c r="A254" s="15" t="n">
        <v>46226</v>
      </c>
      <c r="B254" s="14" t="n">
        <v>24605.91</v>
      </c>
      <c r="C254" s="16" t="n">
        <f aca="false">COUNTIFS($A$2:$A$261,"&gt;"&amp;A254)+1</f>
        <v>8</v>
      </c>
    </row>
    <row r="255" customFormat="false" ht="15" hidden="false" customHeight="false" outlineLevel="0" collapsed="false">
      <c r="A255" s="15" t="n">
        <v>46227</v>
      </c>
      <c r="B255" s="14" t="n">
        <v>24750.74</v>
      </c>
      <c r="C255" s="16" t="n">
        <f aca="false">COUNTIFS($A$2:$A$261,"&gt;"&amp;A255)+1</f>
        <v>7</v>
      </c>
    </row>
    <row r="256" customFormat="false" ht="15" hidden="false" customHeight="false" outlineLevel="0" collapsed="false">
      <c r="A256" s="15" t="n">
        <v>46230</v>
      </c>
      <c r="B256" s="14" t="n">
        <v>24742.68</v>
      </c>
      <c r="C256" s="16" t="n">
        <f aca="false">COUNTIFS($A$2:$A$261,"&gt;"&amp;A256)+1</f>
        <v>6</v>
      </c>
    </row>
    <row r="257" customFormat="false" ht="15" hidden="false" customHeight="false" outlineLevel="0" collapsed="false">
      <c r="A257" s="15" t="n">
        <v>46231</v>
      </c>
      <c r="B257" s="14" t="n">
        <v>24639.76</v>
      </c>
      <c r="C257" s="16" t="n">
        <f aca="false">COUNTIFS($A$2:$A$261,"&gt;"&amp;A257)+1</f>
        <v>5</v>
      </c>
    </row>
    <row r="258" customFormat="false" ht="15" hidden="false" customHeight="false" outlineLevel="0" collapsed="false">
      <c r="A258" s="15" t="n">
        <v>46232</v>
      </c>
      <c r="B258" s="14" t="n">
        <v>24619.87</v>
      </c>
      <c r="C258" s="16" t="n">
        <f aca="false">COUNTIFS($A$2:$A$261,"&gt;"&amp;A258)+1</f>
        <v>4</v>
      </c>
    </row>
    <row r="259" customFormat="false" ht="15" hidden="false" customHeight="false" outlineLevel="0" collapsed="false">
      <c r="A259" s="15" t="n">
        <v>46233</v>
      </c>
      <c r="B259" s="14" t="n">
        <v>24684.87</v>
      </c>
      <c r="C259" s="16" t="n">
        <f aca="false">COUNTIFS($A$2:$A$261,"&gt;"&amp;A259)+1</f>
        <v>3</v>
      </c>
    </row>
    <row r="260" customFormat="false" ht="15" hidden="false" customHeight="false" outlineLevel="0" collapsed="false">
      <c r="A260" s="15" t="n">
        <v>46234</v>
      </c>
      <c r="B260" s="14" t="n">
        <v>24764.39</v>
      </c>
      <c r="C260" s="16" t="n">
        <f aca="false">COUNTIFS($A$2:$A$261,"&gt;"&amp;A260)+1</f>
        <v>2</v>
      </c>
    </row>
    <row r="261" customFormat="false" ht="15" hidden="false" customHeight="false" outlineLevel="0" collapsed="false">
      <c r="A261" s="15" t="n">
        <v>46237</v>
      </c>
      <c r="B261" s="14" t="n">
        <v>24710.57</v>
      </c>
      <c r="C261" s="16" t="n">
        <f aca="false">COUNTIFS($A$2:$A$261,"&gt;"&amp;A261)+1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2026-08-16T09:15:02Z</dcterms:created>
  <dc:creator>openpyxl</dc:creator>
  <dc:description/>
  <dc:language>en-US</dc:language>
  <cp:lastModifiedBy/>
  <dcterms:modified xsi:type="dcterms:W3CDTF">2026-08-16T09:16:58Z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